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AMPAÑA SARAMPIÓN 10 SEMANAS/"/>
    </mc:Choice>
  </mc:AlternateContent>
  <xr:revisionPtr revIDLastSave="0" documentId="8_{14CD743B-CB34-4538-97F2-2ADE7FEA4164}" xr6:coauthVersionLast="47" xr6:coauthVersionMax="47" xr10:uidLastSave="{00000000-0000-0000-0000-000000000000}"/>
  <bookViews>
    <workbookView xWindow="-110" yWindow="-110" windowWidth="19420" windowHeight="12220" activeTab="3" xr2:uid="{00000000-000D-0000-FFFF-FFFF00000000}"/>
  </bookViews>
  <sheets>
    <sheet name="PoblaciónTotal 2026" sheetId="1" r:id="rId1"/>
    <sheet name="Pob META" sheetId="2" r:id="rId2"/>
    <sheet name="Dosis aplicadas" sheetId="3" r:id="rId3"/>
    <sheet name="Susceptib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4" l="1"/>
  <c r="H4" i="4"/>
  <c r="K4" i="4"/>
  <c r="N4" i="4"/>
  <c r="Q4" i="4"/>
  <c r="T4" i="4"/>
  <c r="B4" i="4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W4" i="4" l="1"/>
  <c r="V3" i="1"/>
</calcChain>
</file>

<file path=xl/sharedStrings.xml><?xml version="1.0" encoding="utf-8"?>
<sst xmlns="http://schemas.openxmlformats.org/spreadsheetml/2006/main" count="208" uniqueCount="75">
  <si>
    <t>Grupo</t>
  </si>
  <si>
    <t xml:space="preserve">&lt; 1 año </t>
  </si>
  <si>
    <t xml:space="preserve"> 1 año  </t>
  </si>
  <si>
    <t xml:space="preserve">2 años  </t>
  </si>
  <si>
    <t xml:space="preserve">3 años  </t>
  </si>
  <si>
    <t xml:space="preserve">4 años  </t>
  </si>
  <si>
    <t xml:space="preserve">5 años  </t>
  </si>
  <si>
    <t xml:space="preserve">6 años  </t>
  </si>
  <si>
    <t xml:space="preserve">7 años  </t>
  </si>
  <si>
    <t>8 años</t>
  </si>
  <si>
    <t>9 años</t>
  </si>
  <si>
    <t>10 años</t>
  </si>
  <si>
    <t>11 años</t>
  </si>
  <si>
    <t>12 años</t>
  </si>
  <si>
    <t>13 años</t>
  </si>
  <si>
    <t>14 años</t>
  </si>
  <si>
    <t>15 a 19 años</t>
  </si>
  <si>
    <t>20 a 39 años</t>
  </si>
  <si>
    <t>40 a 49 años</t>
  </si>
  <si>
    <t>50 a 59 años</t>
  </si>
  <si>
    <t>60 años y más</t>
  </si>
  <si>
    <t>TOTAL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</si>
  <si>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</si>
  <si>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</si>
  <si>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</si>
  <si>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</si>
  <si>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</si>
  <si>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</si>
  <si>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</si>
  <si>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</si>
  <si>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MEXICO</t>
  </si>
  <si>
    <t>DURANGO</t>
  </si>
  <si>
    <t>GUANAJUATO</t>
  </si>
  <si>
    <t>GUERRERO</t>
  </si>
  <si>
    <t>HIDALGO</t>
  </si>
  <si>
    <t>JALISCO</t>
  </si>
  <si>
    <t>MEXICO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</si>
  <si>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</si>
  <si>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</si>
  <si>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</si>
  <si>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</si>
  <si>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</si>
  <si>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</si>
  <si>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</si>
  <si>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</si>
  <si>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</si>
  <si>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</si>
  <si>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</si>
  <si>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</si>
  <si>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</si>
  <si>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</si>
  <si>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</si>
  <si>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</si>
  <si>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</si>
  <si>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POBLACIÓN 2026, SECRETARÍA DE SALUD (INCLUIDOS LOS SERVICIOS DE SALUD DEL IMSS BIENESTAR)</t>
  </si>
  <si>
    <t xml:space="preserve">13 a 19 años </t>
  </si>
  <si>
    <t>20 A 39</t>
  </si>
  <si>
    <t>40 A 49</t>
  </si>
  <si>
    <t>50% de menores de 1 año</t>
  </si>
  <si>
    <t>Rezagados
2 a 12 años</t>
  </si>
  <si>
    <t>6 a 11 meses</t>
  </si>
  <si>
    <t>1 año</t>
  </si>
  <si>
    <t>18 meses</t>
  </si>
  <si>
    <t>NACIONAL</t>
  </si>
  <si>
    <t>GRUPO</t>
  </si>
  <si>
    <t>POBLACIÓN META 2026, SECRETARÍA DE SALUD (INCLUIDOS LOS SERVICIOS DE SALUD DEL IMSS BIENESTAR)</t>
  </si>
  <si>
    <t>DOSIS APLICADAS DE VACUNA CONTRA SARAMPIÓN, SECRETARÍA DE SALUD (INCLUIDOS LOS SERVICIOS DE SALUD DEL IMSS BIENESTAR)</t>
  </si>
  <si>
    <t>SUSCEPTIBLES, SECRETARÍA DE SALUD (INCLUIDOS LOS SERVICIOS DE SALUD DEL IMSS BIENESTAR)</t>
  </si>
  <si>
    <t>RATIFICACIÓN O RECTIFICACIÓN</t>
  </si>
  <si>
    <t>JUSTIFICACIÓN</t>
  </si>
  <si>
    <t>FUENTE: RDA 3er Trimestre 2025 + plataforma SIS CENSIA 1ro Octubre 2025 al 6 de febrero 2026</t>
  </si>
  <si>
    <t>Población META  menos las Dosis aplicadas 1ro de enero de 2025 al 6 de febrero 2026 = Susceptibles</t>
  </si>
  <si>
    <r>
      <t xml:space="preserve">Población META  menos las Dosis aplicadas de </t>
    </r>
    <r>
      <rPr>
        <b/>
        <sz val="11"/>
        <color theme="1"/>
        <rFont val="Noto Sans"/>
        <family val="2"/>
      </rPr>
      <t xml:space="preserve">10 a 19 años </t>
    </r>
    <r>
      <rPr>
        <sz val="11"/>
        <color theme="1"/>
        <rFont val="Noto Sans"/>
        <family val="2"/>
      </rPr>
      <t>1ro de enero de 2025 al 6 de febrero 2026 = Susceptibles</t>
    </r>
  </si>
  <si>
    <r>
      <t>Población META  menos las Dosis aplicadas de 2 a 9</t>
    </r>
    <r>
      <rPr>
        <b/>
        <sz val="11"/>
        <color theme="1"/>
        <rFont val="Noto Sans"/>
        <family val="2"/>
      </rPr>
      <t xml:space="preserve"> años </t>
    </r>
    <r>
      <rPr>
        <sz val="11"/>
        <color theme="1"/>
        <rFont val="Noto Sans"/>
        <family val="2"/>
      </rPr>
      <t>1ro de enero de 2025 al 6 de febrero 2026 = Susceptibles</t>
    </r>
  </si>
  <si>
    <t>Población META menos las Dosis aplicadas 1ro de enero al 6 de febrero 2026 = Susceptibles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</si>
</sst>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rgb="FF9C2348"/>
      <name val="Noto Sans"/>
      <family val="2"/>
    </font>
    <font>
      <sz val="11"/>
      <color theme="1"/>
      <name val="Noto Sans"/>
      <family val="2"/>
    </font>
    <font>
      <b/>
      <sz val="12"/>
      <color theme="1"/>
      <name val="Noto Sans"/>
      <family val="2"/>
    </font>
    <font>
      <b/>
      <sz val="11"/>
      <color theme="1"/>
      <name val="Noto Sans"/>
      <family val="2"/>
    </font>
    <font>
      <b/>
      <sz val="9"/>
      <color theme="1"/>
      <name val="Noto Sans"/>
      <family val="2"/>
    </font>
    <font>
      <sz val="9"/>
      <color theme="1"/>
      <name val="Noto Sans"/>
      <family val="2"/>
    </font>
    <font>
      <b/>
      <sz val="11"/>
      <name val="Noto Sans"/>
      <family val="2"/>
    </font>
    <font>
      <b/>
      <sz val="10"/>
      <name val="Noto Sans"/>
      <family val="2"/>
    </font>
    <font>
      <b/>
      <sz val="10"/>
      <color theme="1"/>
      <name val="Noto Sans"/>
      <family val="2"/>
    </font>
    <font>
      <sz val="1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3" fontId="5" fillId="0" borderId="6" xfId="2" applyNumberFormat="1" applyFont="1" applyBorder="1" applyAlignment="1">
      <alignment horizontal="right" vertical="center" wrapText="1"/>
    </xf>
    <xf numFmtId="0" fontId="0" fillId="0" borderId="7" xfId="0" applyBorder="1"/>
    <xf numFmtId="3" fontId="6" fillId="0" borderId="8" xfId="2" applyNumberFormat="1" applyFont="1" applyBorder="1" applyAlignment="1">
      <alignment horizontal="right" vertical="center"/>
    </xf>
    <xf numFmtId="3" fontId="7" fillId="0" borderId="9" xfId="2" applyNumberFormat="1" applyFont="1" applyBorder="1" applyAlignment="1">
      <alignment horizontal="right" vertical="center"/>
    </xf>
    <xf numFmtId="3" fontId="6" fillId="0" borderId="10" xfId="2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/>
    <xf numFmtId="164" fontId="9" fillId="0" borderId="7" xfId="1" applyNumberFormat="1" applyFont="1" applyBorder="1"/>
    <xf numFmtId="164" fontId="9" fillId="0" borderId="7" xfId="0" applyNumberFormat="1" applyFont="1" applyBorder="1"/>
    <xf numFmtId="0" fontId="9" fillId="0" borderId="7" xfId="0" applyFont="1" applyBorder="1"/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vertical="center" wrapText="1"/>
    </xf>
    <xf numFmtId="9" fontId="12" fillId="0" borderId="7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0" borderId="7" xfId="2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5" fillId="0" borderId="7" xfId="2" applyFont="1" applyBorder="1" applyAlignment="1">
      <alignment horizontal="center" vertical="center" wrapText="1"/>
    </xf>
    <xf numFmtId="164" fontId="9" fillId="0" borderId="7" xfId="1" applyNumberFormat="1" applyFont="1" applyFill="1" applyBorder="1"/>
    <xf numFmtId="164" fontId="9" fillId="2" borderId="7" xfId="1" applyNumberFormat="1" applyFont="1" applyFill="1" applyBorder="1"/>
    <xf numFmtId="164" fontId="9" fillId="3" borderId="7" xfId="1" applyNumberFormat="1" applyFont="1" applyFill="1" applyBorder="1"/>
    <xf numFmtId="0" fontId="16" fillId="0" borderId="7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7" fillId="0" borderId="0" xfId="0" applyFont="1"/>
    <xf numFmtId="0" fontId="9" fillId="2" borderId="1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9" fillId="0" borderId="12" xfId="0" applyFont="1" applyFill="1" applyBorder="1" applyAlignment="1">
      <alignment horizontal="center" wrapText="1"/>
    </xf>
    <xf numFmtId="0" fontId="9" fillId="0" borderId="13" xfId="0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 applyAlignment="1">
      <alignment horizontal="center" wrapText="1"/>
    </xf>
  </cellXfs>
  <cellStyles count="3">
    <cellStyle name="Millares" xfId="1" builtinId="3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9C23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workbookViewId="0">
      <selection activeCell="K26" sqref="K26"/>
    </sheetView>
  </sheetViews>
  <sheetFormatPr baseColWidth="10" defaultColWidth="11.453125" defaultRowHeight="14.5" x14ac:dyDescent="0.35"/>
  <cols>
    <col min="1" max="1" width="23.6328125" customWidth="1"/>
  </cols>
  <sheetData>
    <row r="1" spans="1:22" ht="17" thickBot="1" x14ac:dyDescent="0.5">
      <c r="A1" s="11" t="s">
        <v>54</v>
      </c>
    </row>
    <row r="2" spans="1:22" ht="23.5" thickTop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3" t="s">
        <v>20</v>
      </c>
      <c r="V2" s="4" t="s">
        <v>21</v>
      </c>
    </row>
    <row r="3" spans="1:22" ht="15" thickBot="1" x14ac:dyDescent="0.4">
      <c r="A3" s="5" t="s">
        <v>21</v>
      </c>
      <c r="B3" s="6">
        <f t="shared" ref="B3:V3" si="0">SUM(B4:B35)</f>
        <v>1132021</v>
      </c>
      <c r="C3" s="6">
        <f t="shared" si="0"/>
        <v>1156506</v>
      </c>
      <c r="D3" s="6">
        <f t="shared" si="0"/>
        <v>1143910</v>
      </c>
      <c r="E3" s="6">
        <f t="shared" si="0"/>
        <v>1169610</v>
      </c>
      <c r="F3" s="6">
        <f t="shared" si="0"/>
        <v>1174204</v>
      </c>
      <c r="G3" s="6">
        <f t="shared" si="0"/>
        <v>1153890</v>
      </c>
      <c r="H3" s="6">
        <f t="shared" si="0"/>
        <v>1131348</v>
      </c>
      <c r="I3" s="6">
        <f t="shared" si="0"/>
        <v>1114548</v>
      </c>
      <c r="J3" s="6">
        <f t="shared" si="0"/>
        <v>1100660</v>
      </c>
      <c r="K3" s="6">
        <f t="shared" si="0"/>
        <v>1101820</v>
      </c>
      <c r="L3" s="6">
        <f t="shared" si="0"/>
        <v>1125081</v>
      </c>
      <c r="M3" s="6">
        <f t="shared" si="0"/>
        <v>1122263</v>
      </c>
      <c r="N3" s="6">
        <f t="shared" si="0"/>
        <v>1086406</v>
      </c>
      <c r="O3" s="6">
        <f t="shared" si="0"/>
        <v>1018138</v>
      </c>
      <c r="P3" s="6">
        <f t="shared" si="0"/>
        <v>932817</v>
      </c>
      <c r="Q3" s="6">
        <f t="shared" si="0"/>
        <v>3816611</v>
      </c>
      <c r="R3" s="6">
        <f t="shared" si="0"/>
        <v>16525373</v>
      </c>
      <c r="S3" s="6">
        <f t="shared" si="0"/>
        <v>7507564</v>
      </c>
      <c r="T3" s="6">
        <f t="shared" si="0"/>
        <v>5489890</v>
      </c>
      <c r="U3" s="6">
        <f t="shared" si="0"/>
        <v>5480877</v>
      </c>
      <c r="V3" s="6">
        <f t="shared" si="0"/>
        <v>55483537</v>
      </c>
    </row>
    <row r="4" spans="1:22" ht="16" thickTop="1" x14ac:dyDescent="0.35">
      <c r="A4" s="7" t="s">
        <v>22</v>
      </c>
      <c r="B4" s="8">
        <v>10535</v>
      </c>
      <c r="C4" s="8">
        <v>10353</v>
      </c>
      <c r="D4" s="8">
        <v>10192</v>
      </c>
      <c r="E4" s="8">
        <v>9957</v>
      </c>
      <c r="F4" s="8">
        <v>9732</v>
      </c>
      <c r="G4" s="8">
        <v>9649</v>
      </c>
      <c r="H4" s="8">
        <v>9413</v>
      </c>
      <c r="I4" s="8">
        <v>9338</v>
      </c>
      <c r="J4" s="8">
        <v>9287</v>
      </c>
      <c r="K4" s="8">
        <v>9333</v>
      </c>
      <c r="L4" s="8">
        <v>9578</v>
      </c>
      <c r="M4" s="8">
        <v>9676</v>
      </c>
      <c r="N4" s="8">
        <v>9246</v>
      </c>
      <c r="O4" s="8">
        <v>8648</v>
      </c>
      <c r="P4" s="8">
        <v>8157</v>
      </c>
      <c r="Q4" s="8">
        <v>35885</v>
      </c>
      <c r="R4" s="8">
        <v>134068</v>
      </c>
      <c r="S4" s="8">
        <v>65030</v>
      </c>
      <c r="T4" s="8">
        <v>42262</v>
      </c>
      <c r="U4" s="8">
        <v>30539</v>
      </c>
      <c r="V4" s="9">
        <f t="shared" ref="V4:V35" si="1">SUM(B4:U4)</f>
        <v>450878</v>
      </c>
    </row>
    <row r="5" spans="1:22" ht="15.5" x14ac:dyDescent="0.35">
      <c r="A5" s="7" t="s">
        <v>23</v>
      </c>
      <c r="B5" s="10">
        <v>25628</v>
      </c>
      <c r="C5" s="10">
        <v>25015</v>
      </c>
      <c r="D5" s="10">
        <v>21570</v>
      </c>
      <c r="E5" s="10">
        <v>23153</v>
      </c>
      <c r="F5" s="10">
        <v>24288</v>
      </c>
      <c r="G5" s="10">
        <v>24756</v>
      </c>
      <c r="H5" s="10">
        <v>24620</v>
      </c>
      <c r="I5" s="10">
        <v>24625</v>
      </c>
      <c r="J5" s="10">
        <v>24648</v>
      </c>
      <c r="K5" s="10">
        <v>25073</v>
      </c>
      <c r="L5" s="10">
        <v>25654</v>
      </c>
      <c r="M5" s="10">
        <v>26304</v>
      </c>
      <c r="N5" s="10">
        <v>26043</v>
      </c>
      <c r="O5" s="10">
        <v>24965</v>
      </c>
      <c r="P5" s="10">
        <v>23882</v>
      </c>
      <c r="Q5" s="10">
        <v>108169</v>
      </c>
      <c r="R5" s="10">
        <v>428481</v>
      </c>
      <c r="S5" s="10">
        <v>199548</v>
      </c>
      <c r="T5" s="10">
        <v>155011</v>
      </c>
      <c r="U5" s="10">
        <v>130242</v>
      </c>
      <c r="V5" s="9">
        <f t="shared" si="1"/>
        <v>1391675</v>
      </c>
    </row>
    <row r="6" spans="1:22" ht="15.5" x14ac:dyDescent="0.35">
      <c r="A6" s="7" t="s">
        <v>24</v>
      </c>
      <c r="B6" s="10">
        <v>4269</v>
      </c>
      <c r="C6" s="10">
        <v>5327</v>
      </c>
      <c r="D6" s="10">
        <v>5493</v>
      </c>
      <c r="E6" s="10">
        <v>5728</v>
      </c>
      <c r="F6" s="10">
        <v>5893</v>
      </c>
      <c r="G6" s="10">
        <v>5446</v>
      </c>
      <c r="H6" s="10">
        <v>5298</v>
      </c>
      <c r="I6" s="10">
        <v>4943</v>
      </c>
      <c r="J6" s="10">
        <v>4874</v>
      </c>
      <c r="K6" s="10">
        <v>4806</v>
      </c>
      <c r="L6" s="10">
        <v>4840</v>
      </c>
      <c r="M6" s="10">
        <v>4958</v>
      </c>
      <c r="N6" s="10">
        <v>4896</v>
      </c>
      <c r="O6" s="10">
        <v>4565</v>
      </c>
      <c r="P6" s="10">
        <v>4196</v>
      </c>
      <c r="Q6" s="10">
        <v>18311</v>
      </c>
      <c r="R6" s="10">
        <v>84911</v>
      </c>
      <c r="S6" s="10">
        <v>39365</v>
      </c>
      <c r="T6" s="10">
        <v>24118</v>
      </c>
      <c r="U6" s="10">
        <v>17845</v>
      </c>
      <c r="V6" s="9">
        <f t="shared" si="1"/>
        <v>260082</v>
      </c>
    </row>
    <row r="7" spans="1:22" ht="15.5" x14ac:dyDescent="0.35">
      <c r="A7" s="7" t="s">
        <v>25</v>
      </c>
      <c r="B7" s="10">
        <v>7281</v>
      </c>
      <c r="C7" s="10">
        <v>6883</v>
      </c>
      <c r="D7" s="10">
        <v>7293</v>
      </c>
      <c r="E7" s="10">
        <v>7549</v>
      </c>
      <c r="F7" s="10">
        <v>7926</v>
      </c>
      <c r="G7" s="10">
        <v>7983</v>
      </c>
      <c r="H7" s="10">
        <v>8143</v>
      </c>
      <c r="I7" s="10">
        <v>8226</v>
      </c>
      <c r="J7" s="10">
        <v>8232</v>
      </c>
      <c r="K7" s="10">
        <v>8235</v>
      </c>
      <c r="L7" s="10">
        <v>8338</v>
      </c>
      <c r="M7" s="10">
        <v>8696</v>
      </c>
      <c r="N7" s="10">
        <v>8583</v>
      </c>
      <c r="O7" s="10">
        <v>7982</v>
      </c>
      <c r="P7" s="10">
        <v>7379</v>
      </c>
      <c r="Q7" s="10">
        <v>30970</v>
      </c>
      <c r="R7" s="10">
        <v>120651</v>
      </c>
      <c r="S7" s="10">
        <v>55104</v>
      </c>
      <c r="T7" s="10">
        <v>38482</v>
      </c>
      <c r="U7" s="10">
        <v>36481</v>
      </c>
      <c r="V7" s="9">
        <f t="shared" si="1"/>
        <v>400417</v>
      </c>
    </row>
    <row r="8" spans="1:22" ht="15.5" x14ac:dyDescent="0.35">
      <c r="A8" s="7" t="s">
        <v>26</v>
      </c>
      <c r="B8" s="10">
        <v>18650</v>
      </c>
      <c r="C8" s="10">
        <v>15746</v>
      </c>
      <c r="D8" s="10">
        <v>14399</v>
      </c>
      <c r="E8" s="10">
        <v>14070</v>
      </c>
      <c r="F8" s="10">
        <v>14749</v>
      </c>
      <c r="G8" s="10">
        <v>15510</v>
      </c>
      <c r="H8" s="10">
        <v>15382</v>
      </c>
      <c r="I8" s="10">
        <v>15619</v>
      </c>
      <c r="J8" s="10">
        <v>15724</v>
      </c>
      <c r="K8" s="10">
        <v>15900</v>
      </c>
      <c r="L8" s="10">
        <v>15947</v>
      </c>
      <c r="M8" s="10">
        <v>16432</v>
      </c>
      <c r="N8" s="10">
        <v>16490</v>
      </c>
      <c r="O8" s="10">
        <v>16125</v>
      </c>
      <c r="P8" s="10">
        <v>15930</v>
      </c>
      <c r="Q8" s="10">
        <v>83039</v>
      </c>
      <c r="R8" s="10">
        <v>206744</v>
      </c>
      <c r="S8" s="10">
        <v>90350</v>
      </c>
      <c r="T8" s="10">
        <v>56696</v>
      </c>
      <c r="U8" s="10">
        <v>64023</v>
      </c>
      <c r="V8" s="9">
        <f t="shared" si="1"/>
        <v>737525</v>
      </c>
    </row>
    <row r="9" spans="1:22" ht="15.5" x14ac:dyDescent="0.35">
      <c r="A9" s="7" t="s">
        <v>27</v>
      </c>
      <c r="B9" s="10">
        <v>4847</v>
      </c>
      <c r="C9" s="10">
        <v>4529</v>
      </c>
      <c r="D9" s="10">
        <v>4657</v>
      </c>
      <c r="E9" s="10">
        <v>4644</v>
      </c>
      <c r="F9" s="10">
        <v>4501</v>
      </c>
      <c r="G9" s="10">
        <v>4174</v>
      </c>
      <c r="H9" s="10">
        <v>4283</v>
      </c>
      <c r="I9" s="10">
        <v>4271</v>
      </c>
      <c r="J9" s="10">
        <v>4343</v>
      </c>
      <c r="K9" s="10">
        <v>4646</v>
      </c>
      <c r="L9" s="10">
        <v>4880</v>
      </c>
      <c r="M9" s="10">
        <v>5057</v>
      </c>
      <c r="N9" s="10">
        <v>4926</v>
      </c>
      <c r="O9" s="10">
        <v>4622</v>
      </c>
      <c r="P9" s="10">
        <v>4316</v>
      </c>
      <c r="Q9" s="10">
        <v>18604</v>
      </c>
      <c r="R9" s="10">
        <v>80063</v>
      </c>
      <c r="S9" s="10">
        <v>40485</v>
      </c>
      <c r="T9" s="10">
        <v>28550</v>
      </c>
      <c r="U9" s="10">
        <v>26560</v>
      </c>
      <c r="V9" s="9">
        <f t="shared" si="1"/>
        <v>262958</v>
      </c>
    </row>
    <row r="10" spans="1:22" ht="15.5" x14ac:dyDescent="0.35">
      <c r="A10" s="7" t="s">
        <v>28</v>
      </c>
      <c r="B10" s="10">
        <v>93306</v>
      </c>
      <c r="C10" s="10">
        <v>95013</v>
      </c>
      <c r="D10" s="10">
        <v>90684</v>
      </c>
      <c r="E10" s="10">
        <v>90701</v>
      </c>
      <c r="F10" s="10">
        <v>89979</v>
      </c>
      <c r="G10" s="10">
        <v>86809</v>
      </c>
      <c r="H10" s="10">
        <v>84288</v>
      </c>
      <c r="I10" s="10">
        <v>82762</v>
      </c>
      <c r="J10" s="10">
        <v>78862</v>
      </c>
      <c r="K10" s="10">
        <v>75068</v>
      </c>
      <c r="L10" s="10">
        <v>77160</v>
      </c>
      <c r="M10" s="10">
        <v>69251</v>
      </c>
      <c r="N10" s="10">
        <v>62796</v>
      </c>
      <c r="O10" s="10">
        <v>57699</v>
      </c>
      <c r="P10" s="10">
        <v>51809</v>
      </c>
      <c r="Q10" s="10">
        <v>191346</v>
      </c>
      <c r="R10" s="10">
        <v>788104</v>
      </c>
      <c r="S10" s="10">
        <v>315117</v>
      </c>
      <c r="T10" s="10">
        <v>219668</v>
      </c>
      <c r="U10" s="10">
        <v>203087</v>
      </c>
      <c r="V10" s="9">
        <f t="shared" si="1"/>
        <v>2903509</v>
      </c>
    </row>
    <row r="11" spans="1:22" ht="15.5" x14ac:dyDescent="0.35">
      <c r="A11" s="7" t="s">
        <v>29</v>
      </c>
      <c r="B11" s="10">
        <v>23931</v>
      </c>
      <c r="C11" s="10">
        <v>24446</v>
      </c>
      <c r="D11" s="10">
        <v>24330</v>
      </c>
      <c r="E11" s="10">
        <v>25188</v>
      </c>
      <c r="F11" s="10">
        <v>25549</v>
      </c>
      <c r="G11" s="10">
        <v>25523</v>
      </c>
      <c r="H11" s="10">
        <v>25055</v>
      </c>
      <c r="I11" s="10">
        <v>25143</v>
      </c>
      <c r="J11" s="10">
        <v>24968</v>
      </c>
      <c r="K11" s="10">
        <v>25299</v>
      </c>
      <c r="L11" s="10">
        <v>26572</v>
      </c>
      <c r="M11" s="10">
        <v>27113</v>
      </c>
      <c r="N11" s="10">
        <v>26361</v>
      </c>
      <c r="O11" s="10">
        <v>24441</v>
      </c>
      <c r="P11" s="10">
        <v>23335</v>
      </c>
      <c r="Q11" s="10">
        <v>102957</v>
      </c>
      <c r="R11" s="10">
        <v>396418</v>
      </c>
      <c r="S11" s="10">
        <v>180896</v>
      </c>
      <c r="T11" s="10">
        <v>136822</v>
      </c>
      <c r="U11" s="10">
        <v>130148</v>
      </c>
      <c r="V11" s="9">
        <f t="shared" si="1"/>
        <v>1324495</v>
      </c>
    </row>
    <row r="12" spans="1:22" ht="15.5" x14ac:dyDescent="0.35">
      <c r="A12" s="7" t="s">
        <v>30</v>
      </c>
      <c r="B12" s="10">
        <v>41308</v>
      </c>
      <c r="C12" s="10">
        <v>45347</v>
      </c>
      <c r="D12" s="10">
        <v>42578</v>
      </c>
      <c r="E12" s="10">
        <v>43336</v>
      </c>
      <c r="F12" s="10">
        <v>42583</v>
      </c>
      <c r="G12" s="10">
        <v>38649</v>
      </c>
      <c r="H12" s="10">
        <v>37805</v>
      </c>
      <c r="I12" s="10">
        <v>38268</v>
      </c>
      <c r="J12" s="10">
        <v>39483</v>
      </c>
      <c r="K12" s="10">
        <v>41023</v>
      </c>
      <c r="L12" s="10">
        <v>43599</v>
      </c>
      <c r="M12" s="10">
        <v>44385</v>
      </c>
      <c r="N12" s="10">
        <v>41776</v>
      </c>
      <c r="O12" s="10">
        <v>37058</v>
      </c>
      <c r="P12" s="10">
        <v>31314</v>
      </c>
      <c r="Q12" s="10">
        <v>124308</v>
      </c>
      <c r="R12" s="10">
        <v>795590</v>
      </c>
      <c r="S12" s="10">
        <v>384798</v>
      </c>
      <c r="T12" s="10">
        <v>266744</v>
      </c>
      <c r="U12" s="10">
        <v>164760</v>
      </c>
      <c r="V12" s="9">
        <f t="shared" si="1"/>
        <v>2344712</v>
      </c>
    </row>
    <row r="13" spans="1:22" ht="15.5" x14ac:dyDescent="0.35">
      <c r="A13" s="7" t="s">
        <v>31</v>
      </c>
      <c r="B13" s="10">
        <v>12669</v>
      </c>
      <c r="C13" s="10">
        <v>12255</v>
      </c>
      <c r="D13" s="10">
        <v>12293</v>
      </c>
      <c r="E13" s="10">
        <v>13071</v>
      </c>
      <c r="F13" s="10">
        <v>13323</v>
      </c>
      <c r="G13" s="10">
        <v>13532</v>
      </c>
      <c r="H13" s="10">
        <v>13869</v>
      </c>
      <c r="I13" s="10">
        <v>14008</v>
      </c>
      <c r="J13" s="10">
        <v>13684</v>
      </c>
      <c r="K13" s="10">
        <v>13912</v>
      </c>
      <c r="L13" s="10">
        <v>14749</v>
      </c>
      <c r="M13" s="10">
        <v>15065</v>
      </c>
      <c r="N13" s="10">
        <v>14710</v>
      </c>
      <c r="O13" s="10">
        <v>13519</v>
      </c>
      <c r="P13" s="10">
        <v>12410</v>
      </c>
      <c r="Q13" s="10">
        <v>51174</v>
      </c>
      <c r="R13" s="10">
        <v>192899</v>
      </c>
      <c r="S13" s="10">
        <v>80995</v>
      </c>
      <c r="T13" s="10">
        <v>52756</v>
      </c>
      <c r="U13" s="10">
        <v>47754</v>
      </c>
      <c r="V13" s="9">
        <f t="shared" si="1"/>
        <v>628647</v>
      </c>
    </row>
    <row r="14" spans="1:22" ht="15.5" x14ac:dyDescent="0.35">
      <c r="A14" s="7" t="s">
        <v>32</v>
      </c>
      <c r="B14" s="10">
        <v>64227</v>
      </c>
      <c r="C14" s="10">
        <v>64659</v>
      </c>
      <c r="D14" s="10">
        <v>66015</v>
      </c>
      <c r="E14" s="10">
        <v>67068</v>
      </c>
      <c r="F14" s="10">
        <v>67882</v>
      </c>
      <c r="G14" s="10">
        <v>67827</v>
      </c>
      <c r="H14" s="10">
        <v>67024</v>
      </c>
      <c r="I14" s="10">
        <v>65916</v>
      </c>
      <c r="J14" s="10">
        <v>64719</v>
      </c>
      <c r="K14" s="10">
        <v>64530</v>
      </c>
      <c r="L14" s="10">
        <v>65375</v>
      </c>
      <c r="M14" s="10">
        <v>65814</v>
      </c>
      <c r="N14" s="10">
        <v>64824</v>
      </c>
      <c r="O14" s="10">
        <v>62451</v>
      </c>
      <c r="P14" s="10">
        <v>59570</v>
      </c>
      <c r="Q14" s="10">
        <v>261296</v>
      </c>
      <c r="R14" s="10">
        <v>972322</v>
      </c>
      <c r="S14" s="10">
        <v>446793</v>
      </c>
      <c r="T14" s="10">
        <v>334386</v>
      </c>
      <c r="U14" s="10">
        <v>373277</v>
      </c>
      <c r="V14" s="9">
        <f t="shared" si="1"/>
        <v>3365975</v>
      </c>
    </row>
    <row r="15" spans="1:22" ht="15.5" x14ac:dyDescent="0.35">
      <c r="A15" s="7" t="s">
        <v>33</v>
      </c>
      <c r="B15" s="10">
        <v>49268</v>
      </c>
      <c r="C15" s="10">
        <v>51020</v>
      </c>
      <c r="D15" s="10">
        <v>52139</v>
      </c>
      <c r="E15" s="10">
        <v>53731</v>
      </c>
      <c r="F15" s="10">
        <v>54826</v>
      </c>
      <c r="G15" s="10">
        <v>55233</v>
      </c>
      <c r="H15" s="10">
        <v>55205</v>
      </c>
      <c r="I15" s="10">
        <v>54456</v>
      </c>
      <c r="J15" s="10">
        <v>53497</v>
      </c>
      <c r="K15" s="10">
        <v>53328</v>
      </c>
      <c r="L15" s="10">
        <v>53534</v>
      </c>
      <c r="M15" s="10">
        <v>53160</v>
      </c>
      <c r="N15" s="10">
        <v>52060</v>
      </c>
      <c r="O15" s="10">
        <v>50342</v>
      </c>
      <c r="P15" s="10">
        <v>47600</v>
      </c>
      <c r="Q15" s="10">
        <v>198053</v>
      </c>
      <c r="R15" s="10">
        <v>714364</v>
      </c>
      <c r="S15" s="10">
        <v>269673</v>
      </c>
      <c r="T15" s="10">
        <v>200310</v>
      </c>
      <c r="U15" s="10">
        <v>263826</v>
      </c>
      <c r="V15" s="9">
        <f t="shared" si="1"/>
        <v>2435625</v>
      </c>
    </row>
    <row r="16" spans="1:22" ht="15.5" x14ac:dyDescent="0.35">
      <c r="A16" s="7" t="s">
        <v>34</v>
      </c>
      <c r="B16" s="10">
        <v>27709</v>
      </c>
      <c r="C16" s="10">
        <v>28753</v>
      </c>
      <c r="D16" s="10">
        <v>30817</v>
      </c>
      <c r="E16" s="10">
        <v>31703</v>
      </c>
      <c r="F16" s="10">
        <v>32021</v>
      </c>
      <c r="G16" s="10">
        <v>31502</v>
      </c>
      <c r="H16" s="10">
        <v>30952</v>
      </c>
      <c r="I16" s="10">
        <v>30865</v>
      </c>
      <c r="J16" s="10">
        <v>30888</v>
      </c>
      <c r="K16" s="10">
        <v>31716</v>
      </c>
      <c r="L16" s="10">
        <v>31528</v>
      </c>
      <c r="M16" s="10">
        <v>31812</v>
      </c>
      <c r="N16" s="10">
        <v>31199</v>
      </c>
      <c r="O16" s="10">
        <v>28883</v>
      </c>
      <c r="P16" s="10">
        <v>24801</v>
      </c>
      <c r="Q16" s="10">
        <v>89513</v>
      </c>
      <c r="R16" s="10">
        <v>448057</v>
      </c>
      <c r="S16" s="10">
        <v>211432</v>
      </c>
      <c r="T16" s="10">
        <v>159120</v>
      </c>
      <c r="U16" s="10">
        <v>157954</v>
      </c>
      <c r="V16" s="9">
        <f t="shared" si="1"/>
        <v>1521225</v>
      </c>
    </row>
    <row r="17" spans="1:22" ht="15.5" x14ac:dyDescent="0.35">
      <c r="A17" s="7" t="s">
        <v>35</v>
      </c>
      <c r="B17" s="10">
        <v>74589</v>
      </c>
      <c r="C17" s="10">
        <v>73039</v>
      </c>
      <c r="D17" s="10">
        <v>68102</v>
      </c>
      <c r="E17" s="10">
        <v>69466</v>
      </c>
      <c r="F17" s="10">
        <v>70365</v>
      </c>
      <c r="G17" s="10">
        <v>70490</v>
      </c>
      <c r="H17" s="10">
        <v>69824</v>
      </c>
      <c r="I17" s="10">
        <v>68895</v>
      </c>
      <c r="J17" s="10">
        <v>67403</v>
      </c>
      <c r="K17" s="10">
        <v>66779</v>
      </c>
      <c r="L17" s="10">
        <v>67512</v>
      </c>
      <c r="M17" s="10">
        <v>67683</v>
      </c>
      <c r="N17" s="10">
        <v>66160</v>
      </c>
      <c r="O17" s="10">
        <v>63499</v>
      </c>
      <c r="P17" s="10">
        <v>60501</v>
      </c>
      <c r="Q17" s="10">
        <v>266842</v>
      </c>
      <c r="R17" s="10">
        <v>1023492</v>
      </c>
      <c r="S17" s="10">
        <v>500418</v>
      </c>
      <c r="T17" s="10">
        <v>347412</v>
      </c>
      <c r="U17" s="10">
        <v>440933</v>
      </c>
      <c r="V17" s="9">
        <f t="shared" si="1"/>
        <v>3603404</v>
      </c>
    </row>
    <row r="18" spans="1:22" ht="15.5" x14ac:dyDescent="0.35">
      <c r="A18" s="7" t="s">
        <v>36</v>
      </c>
      <c r="B18" s="10">
        <v>148535</v>
      </c>
      <c r="C18" s="10">
        <v>168656</v>
      </c>
      <c r="D18" s="10">
        <v>169231</v>
      </c>
      <c r="E18" s="10">
        <v>177239</v>
      </c>
      <c r="F18" s="10">
        <v>181435</v>
      </c>
      <c r="G18" s="10">
        <v>180699</v>
      </c>
      <c r="H18" s="10">
        <v>179697</v>
      </c>
      <c r="I18" s="10">
        <v>177348</v>
      </c>
      <c r="J18" s="10">
        <v>172574</v>
      </c>
      <c r="K18" s="10">
        <v>169998</v>
      </c>
      <c r="L18" s="10">
        <v>170128</v>
      </c>
      <c r="M18" s="10">
        <v>169251</v>
      </c>
      <c r="N18" s="10">
        <v>164254</v>
      </c>
      <c r="O18" s="10">
        <v>154515</v>
      </c>
      <c r="P18" s="10">
        <v>141568</v>
      </c>
      <c r="Q18" s="10">
        <v>574405</v>
      </c>
      <c r="R18" s="10">
        <v>2815421</v>
      </c>
      <c r="S18" s="10">
        <v>1293018</v>
      </c>
      <c r="T18" s="10">
        <v>949249</v>
      </c>
      <c r="U18" s="10">
        <v>888534</v>
      </c>
      <c r="V18" s="9">
        <f t="shared" si="1"/>
        <v>9045755</v>
      </c>
    </row>
    <row r="19" spans="1:22" ht="15.5" x14ac:dyDescent="0.35">
      <c r="A19" s="7" t="s">
        <v>37</v>
      </c>
      <c r="B19" s="10">
        <v>54648</v>
      </c>
      <c r="C19" s="10">
        <v>55329</v>
      </c>
      <c r="D19" s="10">
        <v>54351</v>
      </c>
      <c r="E19" s="10">
        <v>54959</v>
      </c>
      <c r="F19" s="10">
        <v>52507</v>
      </c>
      <c r="G19" s="10">
        <v>50687</v>
      </c>
      <c r="H19" s="10">
        <v>48305</v>
      </c>
      <c r="I19" s="10">
        <v>45737</v>
      </c>
      <c r="J19" s="10">
        <v>44759</v>
      </c>
      <c r="K19" s="10">
        <v>44662</v>
      </c>
      <c r="L19" s="10">
        <v>44454</v>
      </c>
      <c r="M19" s="10">
        <v>43420</v>
      </c>
      <c r="N19" s="10">
        <v>41218</v>
      </c>
      <c r="O19" s="10">
        <v>38779</v>
      </c>
      <c r="P19" s="10">
        <v>35436</v>
      </c>
      <c r="Q19" s="10">
        <v>146286</v>
      </c>
      <c r="R19" s="10">
        <v>592981</v>
      </c>
      <c r="S19" s="10">
        <v>268292</v>
      </c>
      <c r="T19" s="10">
        <v>192581</v>
      </c>
      <c r="U19" s="10">
        <v>215107</v>
      </c>
      <c r="V19" s="9">
        <f t="shared" si="1"/>
        <v>2124498</v>
      </c>
    </row>
    <row r="20" spans="1:22" ht="15.5" x14ac:dyDescent="0.35">
      <c r="A20" s="7" t="s">
        <v>38</v>
      </c>
      <c r="B20" s="10">
        <v>17358</v>
      </c>
      <c r="C20" s="10">
        <v>17977</v>
      </c>
      <c r="D20" s="10">
        <v>18968</v>
      </c>
      <c r="E20" s="10">
        <v>19504</v>
      </c>
      <c r="F20" s="10">
        <v>19774</v>
      </c>
      <c r="G20" s="10">
        <v>19339</v>
      </c>
      <c r="H20" s="10">
        <v>18636</v>
      </c>
      <c r="I20" s="10">
        <v>18169</v>
      </c>
      <c r="J20" s="10">
        <v>18343</v>
      </c>
      <c r="K20" s="10">
        <v>18959</v>
      </c>
      <c r="L20" s="10">
        <v>19932</v>
      </c>
      <c r="M20" s="10">
        <v>20559</v>
      </c>
      <c r="N20" s="10">
        <v>20406</v>
      </c>
      <c r="O20" s="10">
        <v>19519</v>
      </c>
      <c r="P20" s="10">
        <v>18253</v>
      </c>
      <c r="Q20" s="10">
        <v>78293</v>
      </c>
      <c r="R20" s="10">
        <v>336324</v>
      </c>
      <c r="S20" s="10">
        <v>138627</v>
      </c>
      <c r="T20" s="10">
        <v>104377</v>
      </c>
      <c r="U20" s="10">
        <v>90375</v>
      </c>
      <c r="V20" s="9">
        <f t="shared" si="1"/>
        <v>1033692</v>
      </c>
    </row>
    <row r="21" spans="1:22" ht="15.5" x14ac:dyDescent="0.35">
      <c r="A21" s="7" t="s">
        <v>39</v>
      </c>
      <c r="B21" s="10">
        <v>8522</v>
      </c>
      <c r="C21" s="10">
        <v>9738</v>
      </c>
      <c r="D21" s="10">
        <v>10416</v>
      </c>
      <c r="E21" s="10">
        <v>11201</v>
      </c>
      <c r="F21" s="10">
        <v>11704</v>
      </c>
      <c r="G21" s="10">
        <v>11561</v>
      </c>
      <c r="H21" s="10">
        <v>11286</v>
      </c>
      <c r="I21" s="10">
        <v>10909</v>
      </c>
      <c r="J21" s="10">
        <v>10901</v>
      </c>
      <c r="K21" s="10">
        <v>11029</v>
      </c>
      <c r="L21" s="10">
        <v>10484</v>
      </c>
      <c r="M21" s="10">
        <v>10588</v>
      </c>
      <c r="N21" s="10">
        <v>10592</v>
      </c>
      <c r="O21" s="10">
        <v>9903</v>
      </c>
      <c r="P21" s="10">
        <v>9100</v>
      </c>
      <c r="Q21" s="10">
        <v>36479</v>
      </c>
      <c r="R21" s="10">
        <v>158607</v>
      </c>
      <c r="S21" s="10">
        <v>71131</v>
      </c>
      <c r="T21" s="10">
        <v>49938</v>
      </c>
      <c r="U21" s="10">
        <v>39369</v>
      </c>
      <c r="V21" s="9">
        <f t="shared" si="1"/>
        <v>513458</v>
      </c>
    </row>
    <row r="22" spans="1:22" ht="15.5" x14ac:dyDescent="0.35">
      <c r="A22" s="7" t="s">
        <v>40</v>
      </c>
      <c r="B22" s="10">
        <v>49724</v>
      </c>
      <c r="C22" s="10">
        <v>45572</v>
      </c>
      <c r="D22" s="10">
        <v>39281</v>
      </c>
      <c r="E22" s="10">
        <v>37750</v>
      </c>
      <c r="F22" s="10">
        <v>36777</v>
      </c>
      <c r="G22" s="10">
        <v>35866</v>
      </c>
      <c r="H22" s="10">
        <v>33994</v>
      </c>
      <c r="I22" s="10">
        <v>32116</v>
      </c>
      <c r="J22" s="10">
        <v>30816</v>
      </c>
      <c r="K22" s="10">
        <v>30267</v>
      </c>
      <c r="L22" s="10">
        <v>31000</v>
      </c>
      <c r="M22" s="10">
        <v>31609</v>
      </c>
      <c r="N22" s="10">
        <v>31145</v>
      </c>
      <c r="O22" s="10">
        <v>29738</v>
      </c>
      <c r="P22" s="10">
        <v>28501</v>
      </c>
      <c r="Q22" s="10">
        <v>130332</v>
      </c>
      <c r="R22" s="10">
        <v>459221</v>
      </c>
      <c r="S22" s="10">
        <v>226322</v>
      </c>
      <c r="T22" s="10">
        <v>152314</v>
      </c>
      <c r="U22" s="10">
        <v>138573</v>
      </c>
      <c r="V22" s="9">
        <f t="shared" si="1"/>
        <v>1630918</v>
      </c>
    </row>
    <row r="23" spans="1:22" ht="15.5" x14ac:dyDescent="0.35">
      <c r="A23" s="7" t="s">
        <v>41</v>
      </c>
      <c r="B23" s="10">
        <v>44260</v>
      </c>
      <c r="C23" s="10">
        <v>46312</v>
      </c>
      <c r="D23" s="10">
        <v>46517</v>
      </c>
      <c r="E23" s="10">
        <v>47165</v>
      </c>
      <c r="F23" s="10">
        <v>45736</v>
      </c>
      <c r="G23" s="10">
        <v>42751</v>
      </c>
      <c r="H23" s="10">
        <v>40831.5</v>
      </c>
      <c r="I23" s="10">
        <v>40010</v>
      </c>
      <c r="J23" s="10">
        <v>39636</v>
      </c>
      <c r="K23" s="10">
        <v>40552</v>
      </c>
      <c r="L23" s="10">
        <v>43917</v>
      </c>
      <c r="M23" s="10">
        <v>43818</v>
      </c>
      <c r="N23" s="10">
        <v>41762</v>
      </c>
      <c r="O23" s="10">
        <v>38320</v>
      </c>
      <c r="P23" s="10">
        <v>34452</v>
      </c>
      <c r="Q23" s="10">
        <v>127486</v>
      </c>
      <c r="R23" s="10">
        <v>618125</v>
      </c>
      <c r="S23" s="10">
        <v>251874</v>
      </c>
      <c r="T23" s="10">
        <v>198158</v>
      </c>
      <c r="U23" s="10">
        <v>247631</v>
      </c>
      <c r="V23" s="9">
        <f t="shared" si="1"/>
        <v>2079313.5</v>
      </c>
    </row>
    <row r="24" spans="1:22" ht="15.5" x14ac:dyDescent="0.35">
      <c r="A24" s="7" t="s">
        <v>42</v>
      </c>
      <c r="B24" s="10">
        <v>86822</v>
      </c>
      <c r="C24" s="10">
        <v>87731</v>
      </c>
      <c r="D24" s="10">
        <v>87069</v>
      </c>
      <c r="E24" s="10">
        <v>87803</v>
      </c>
      <c r="F24" s="10">
        <v>86033</v>
      </c>
      <c r="G24" s="10">
        <v>82294</v>
      </c>
      <c r="H24" s="10">
        <v>79290</v>
      </c>
      <c r="I24" s="10">
        <v>76628</v>
      </c>
      <c r="J24" s="10">
        <v>76262</v>
      </c>
      <c r="K24" s="10">
        <v>75922</v>
      </c>
      <c r="L24" s="10">
        <v>76313</v>
      </c>
      <c r="M24" s="10">
        <v>74539</v>
      </c>
      <c r="N24" s="10">
        <v>69909</v>
      </c>
      <c r="O24" s="10">
        <v>64333</v>
      </c>
      <c r="P24" s="10">
        <v>55310</v>
      </c>
      <c r="Q24" s="10">
        <v>199938</v>
      </c>
      <c r="R24" s="10">
        <v>1047059</v>
      </c>
      <c r="S24" s="10">
        <v>456060</v>
      </c>
      <c r="T24" s="10">
        <v>338760</v>
      </c>
      <c r="U24" s="10">
        <v>361547</v>
      </c>
      <c r="V24" s="9">
        <f t="shared" si="1"/>
        <v>3569622</v>
      </c>
    </row>
    <row r="25" spans="1:22" ht="15.5" x14ac:dyDescent="0.35">
      <c r="A25" s="7" t="s">
        <v>43</v>
      </c>
      <c r="B25" s="10">
        <v>23213</v>
      </c>
      <c r="C25" s="10">
        <v>22867</v>
      </c>
      <c r="D25" s="10">
        <v>22905</v>
      </c>
      <c r="E25" s="10">
        <v>22710</v>
      </c>
      <c r="F25" s="10">
        <v>22409</v>
      </c>
      <c r="G25" s="10">
        <v>21707</v>
      </c>
      <c r="H25" s="10">
        <v>21322</v>
      </c>
      <c r="I25" s="10">
        <v>21008</v>
      </c>
      <c r="J25" s="10">
        <v>20465</v>
      </c>
      <c r="K25" s="10">
        <v>20252</v>
      </c>
      <c r="L25" s="10">
        <v>20437</v>
      </c>
      <c r="M25" s="10">
        <v>20435</v>
      </c>
      <c r="N25" s="10">
        <v>19974</v>
      </c>
      <c r="O25" s="10">
        <v>19249</v>
      </c>
      <c r="P25" s="10">
        <v>18382</v>
      </c>
      <c r="Q25" s="10">
        <v>82803</v>
      </c>
      <c r="R25" s="10">
        <v>320338</v>
      </c>
      <c r="S25" s="10">
        <v>157612</v>
      </c>
      <c r="T25" s="10">
        <v>105227</v>
      </c>
      <c r="U25" s="10">
        <v>102025</v>
      </c>
      <c r="V25" s="9">
        <f t="shared" si="1"/>
        <v>1085340</v>
      </c>
    </row>
    <row r="26" spans="1:22" ht="15.5" x14ac:dyDescent="0.35">
      <c r="A26" s="7" t="s">
        <v>44</v>
      </c>
      <c r="B26" s="10">
        <v>17600</v>
      </c>
      <c r="C26" s="10">
        <v>17843</v>
      </c>
      <c r="D26" s="10">
        <v>17015</v>
      </c>
      <c r="E26" s="10">
        <v>17466</v>
      </c>
      <c r="F26" s="10">
        <v>17787</v>
      </c>
      <c r="G26" s="10">
        <v>17684</v>
      </c>
      <c r="H26" s="10">
        <v>17110</v>
      </c>
      <c r="I26" s="10">
        <v>16418</v>
      </c>
      <c r="J26" s="10">
        <v>15947</v>
      </c>
      <c r="K26" s="10">
        <v>15769</v>
      </c>
      <c r="L26" s="10">
        <v>15940</v>
      </c>
      <c r="M26" s="10">
        <v>16095</v>
      </c>
      <c r="N26" s="10">
        <v>15885</v>
      </c>
      <c r="O26" s="10">
        <v>15223</v>
      </c>
      <c r="P26" s="10">
        <v>14311</v>
      </c>
      <c r="Q26" s="10">
        <v>61924</v>
      </c>
      <c r="R26" s="10">
        <v>235273</v>
      </c>
      <c r="S26" s="10">
        <v>124785</v>
      </c>
      <c r="T26" s="10">
        <v>77328</v>
      </c>
      <c r="U26" s="10">
        <v>56034</v>
      </c>
      <c r="V26" s="9">
        <f t="shared" si="1"/>
        <v>803437</v>
      </c>
    </row>
    <row r="27" spans="1:22" ht="15.5" x14ac:dyDescent="0.35">
      <c r="A27" s="7" t="s">
        <v>45</v>
      </c>
      <c r="B27" s="10">
        <v>28109</v>
      </c>
      <c r="C27" s="10">
        <v>24460</v>
      </c>
      <c r="D27" s="10">
        <v>24940</v>
      </c>
      <c r="E27" s="10">
        <v>24828</v>
      </c>
      <c r="F27" s="10">
        <v>24767</v>
      </c>
      <c r="G27" s="10">
        <v>24371</v>
      </c>
      <c r="H27" s="10">
        <v>23429</v>
      </c>
      <c r="I27" s="10">
        <v>23336</v>
      </c>
      <c r="J27" s="10">
        <v>23536</v>
      </c>
      <c r="K27" s="10">
        <v>23494</v>
      </c>
      <c r="L27" s="10">
        <v>23283</v>
      </c>
      <c r="M27" s="10">
        <v>22902</v>
      </c>
      <c r="N27" s="10">
        <v>22396</v>
      </c>
      <c r="O27" s="10">
        <v>20362</v>
      </c>
      <c r="P27" s="10">
        <v>18149</v>
      </c>
      <c r="Q27" s="10">
        <v>77102</v>
      </c>
      <c r="R27" s="10">
        <v>332061</v>
      </c>
      <c r="S27" s="10">
        <v>145601</v>
      </c>
      <c r="T27" s="10">
        <v>107821</v>
      </c>
      <c r="U27" s="10">
        <v>123055</v>
      </c>
      <c r="V27" s="9">
        <f t="shared" si="1"/>
        <v>1138002</v>
      </c>
    </row>
    <row r="28" spans="1:22" ht="15.5" x14ac:dyDescent="0.35">
      <c r="A28" s="7" t="s">
        <v>46</v>
      </c>
      <c r="B28" s="10">
        <v>17711</v>
      </c>
      <c r="C28" s="10">
        <v>18870</v>
      </c>
      <c r="D28" s="10">
        <v>20269</v>
      </c>
      <c r="E28" s="10">
        <v>21419</v>
      </c>
      <c r="F28" s="10">
        <v>22212</v>
      </c>
      <c r="G28" s="10">
        <v>22353</v>
      </c>
      <c r="H28" s="10">
        <v>21823.5</v>
      </c>
      <c r="I28" s="10">
        <v>21522</v>
      </c>
      <c r="J28" s="10">
        <v>21494</v>
      </c>
      <c r="K28" s="10">
        <v>21754</v>
      </c>
      <c r="L28" s="10">
        <v>22611</v>
      </c>
      <c r="M28" s="10">
        <v>22891</v>
      </c>
      <c r="N28" s="10">
        <v>22133</v>
      </c>
      <c r="O28" s="10">
        <v>20167</v>
      </c>
      <c r="P28" s="10">
        <v>18127</v>
      </c>
      <c r="Q28" s="10">
        <v>70941</v>
      </c>
      <c r="R28" s="10">
        <v>335457</v>
      </c>
      <c r="S28" s="10">
        <v>148101</v>
      </c>
      <c r="T28" s="10">
        <v>101163</v>
      </c>
      <c r="U28" s="10">
        <v>86698</v>
      </c>
      <c r="V28" s="9">
        <f t="shared" si="1"/>
        <v>1057716.5</v>
      </c>
    </row>
    <row r="29" spans="1:22" ht="15.5" x14ac:dyDescent="0.35">
      <c r="A29" s="7" t="s">
        <v>47</v>
      </c>
      <c r="B29" s="10">
        <v>19860</v>
      </c>
      <c r="C29" s="10">
        <v>20831</v>
      </c>
      <c r="D29" s="10">
        <v>19843</v>
      </c>
      <c r="E29" s="10">
        <v>20110</v>
      </c>
      <c r="F29" s="10">
        <v>20190</v>
      </c>
      <c r="G29" s="10">
        <v>19917</v>
      </c>
      <c r="H29" s="10">
        <v>19161</v>
      </c>
      <c r="I29" s="10">
        <v>18844</v>
      </c>
      <c r="J29" s="10">
        <v>19097</v>
      </c>
      <c r="K29" s="10">
        <v>19712</v>
      </c>
      <c r="L29" s="10">
        <v>20722</v>
      </c>
      <c r="M29" s="10">
        <v>21685</v>
      </c>
      <c r="N29" s="10">
        <v>21591</v>
      </c>
      <c r="O29" s="10">
        <v>20674</v>
      </c>
      <c r="P29" s="10">
        <v>19595</v>
      </c>
      <c r="Q29" s="10">
        <v>84492</v>
      </c>
      <c r="R29" s="10">
        <v>315560</v>
      </c>
      <c r="S29" s="10">
        <v>154049</v>
      </c>
      <c r="T29" s="10">
        <v>115460</v>
      </c>
      <c r="U29" s="10">
        <v>104463</v>
      </c>
      <c r="V29" s="9">
        <f t="shared" si="1"/>
        <v>1075856</v>
      </c>
    </row>
    <row r="30" spans="1:22" ht="15.5" x14ac:dyDescent="0.35">
      <c r="A30" s="7" t="s">
        <v>48</v>
      </c>
      <c r="B30" s="10">
        <v>29105</v>
      </c>
      <c r="C30" s="10">
        <v>27818</v>
      </c>
      <c r="D30" s="10">
        <v>29492</v>
      </c>
      <c r="E30" s="10">
        <v>30236</v>
      </c>
      <c r="F30" s="10">
        <v>29964</v>
      </c>
      <c r="G30" s="10">
        <v>29314</v>
      </c>
      <c r="H30" s="10">
        <v>28684</v>
      </c>
      <c r="I30" s="10">
        <v>28770</v>
      </c>
      <c r="J30" s="10">
        <v>29186</v>
      </c>
      <c r="K30" s="10">
        <v>30237</v>
      </c>
      <c r="L30" s="10">
        <v>31937</v>
      </c>
      <c r="M30" s="10">
        <v>33035</v>
      </c>
      <c r="N30" s="10">
        <v>32206</v>
      </c>
      <c r="O30" s="10">
        <v>29344</v>
      </c>
      <c r="P30" s="10">
        <v>25648</v>
      </c>
      <c r="Q30" s="10">
        <v>87624</v>
      </c>
      <c r="R30" s="10">
        <v>451509</v>
      </c>
      <c r="S30" s="10">
        <v>214595</v>
      </c>
      <c r="T30" s="10">
        <v>165080</v>
      </c>
      <c r="U30" s="10">
        <v>164058</v>
      </c>
      <c r="V30" s="9">
        <f t="shared" si="1"/>
        <v>1527842</v>
      </c>
    </row>
    <row r="31" spans="1:22" ht="15.5" x14ac:dyDescent="0.35">
      <c r="A31" s="7" t="s">
        <v>49</v>
      </c>
      <c r="B31" s="10">
        <v>26299</v>
      </c>
      <c r="C31" s="10">
        <v>24872</v>
      </c>
      <c r="D31" s="10">
        <v>24574</v>
      </c>
      <c r="E31" s="10">
        <v>25051</v>
      </c>
      <c r="F31" s="10">
        <v>25314</v>
      </c>
      <c r="G31" s="10">
        <v>25616</v>
      </c>
      <c r="H31" s="10">
        <v>25082</v>
      </c>
      <c r="I31" s="10">
        <v>24929</v>
      </c>
      <c r="J31" s="10">
        <v>24989</v>
      </c>
      <c r="K31" s="10">
        <v>25167</v>
      </c>
      <c r="L31" s="10">
        <v>24802</v>
      </c>
      <c r="M31" s="10">
        <v>24671</v>
      </c>
      <c r="N31" s="10">
        <v>23878</v>
      </c>
      <c r="O31" s="10">
        <v>22491</v>
      </c>
      <c r="P31" s="10">
        <v>21061</v>
      </c>
      <c r="Q31" s="10">
        <v>98166</v>
      </c>
      <c r="R31" s="10">
        <v>390377</v>
      </c>
      <c r="S31" s="10">
        <v>178810</v>
      </c>
      <c r="T31" s="10">
        <v>142135</v>
      </c>
      <c r="U31" s="10">
        <v>121579</v>
      </c>
      <c r="V31" s="9">
        <f t="shared" si="1"/>
        <v>1299863</v>
      </c>
    </row>
    <row r="32" spans="1:22" ht="15.5" x14ac:dyDescent="0.35">
      <c r="A32" s="7" t="s">
        <v>50</v>
      </c>
      <c r="B32" s="10">
        <v>17393</v>
      </c>
      <c r="C32" s="10">
        <v>17631</v>
      </c>
      <c r="D32" s="10">
        <v>18781</v>
      </c>
      <c r="E32" s="10">
        <v>19209</v>
      </c>
      <c r="F32" s="10">
        <v>19163</v>
      </c>
      <c r="G32" s="10">
        <v>18653</v>
      </c>
      <c r="H32" s="10">
        <v>17962</v>
      </c>
      <c r="I32" s="10">
        <v>17411</v>
      </c>
      <c r="J32" s="10">
        <v>17108</v>
      </c>
      <c r="K32" s="10">
        <v>17196</v>
      </c>
      <c r="L32" s="10">
        <v>17513</v>
      </c>
      <c r="M32" s="10">
        <v>17645</v>
      </c>
      <c r="N32" s="10">
        <v>17156</v>
      </c>
      <c r="O32" s="10">
        <v>15944</v>
      </c>
      <c r="P32" s="10">
        <v>14241</v>
      </c>
      <c r="Q32" s="10">
        <v>52700</v>
      </c>
      <c r="R32" s="10">
        <v>275609</v>
      </c>
      <c r="S32" s="10">
        <v>113968</v>
      </c>
      <c r="T32" s="10">
        <v>86339</v>
      </c>
      <c r="U32" s="10">
        <v>83089</v>
      </c>
      <c r="V32" s="9">
        <f t="shared" si="1"/>
        <v>874711</v>
      </c>
    </row>
    <row r="33" spans="1:22" ht="15.5" x14ac:dyDescent="0.35">
      <c r="A33" s="7" t="s">
        <v>51</v>
      </c>
      <c r="B33" s="10">
        <v>55466</v>
      </c>
      <c r="C33" s="10">
        <v>58530</v>
      </c>
      <c r="D33" s="10">
        <v>58744</v>
      </c>
      <c r="E33" s="10">
        <v>61584</v>
      </c>
      <c r="F33" s="10">
        <v>62613</v>
      </c>
      <c r="G33" s="10">
        <v>62297</v>
      </c>
      <c r="H33" s="10">
        <v>62089</v>
      </c>
      <c r="I33" s="10">
        <v>62192</v>
      </c>
      <c r="J33" s="10">
        <v>64877</v>
      </c>
      <c r="K33" s="10">
        <v>67479</v>
      </c>
      <c r="L33" s="10">
        <v>71623</v>
      </c>
      <c r="M33" s="10">
        <v>73552</v>
      </c>
      <c r="N33" s="10">
        <v>71861</v>
      </c>
      <c r="O33" s="10">
        <v>66779</v>
      </c>
      <c r="P33" s="10">
        <v>59591</v>
      </c>
      <c r="Q33" s="10">
        <v>220188</v>
      </c>
      <c r="R33" s="10">
        <v>991108</v>
      </c>
      <c r="S33" s="10">
        <v>485074</v>
      </c>
      <c r="T33" s="10">
        <v>394248</v>
      </c>
      <c r="U33" s="10">
        <v>455013</v>
      </c>
      <c r="V33" s="9">
        <f t="shared" si="1"/>
        <v>3504908</v>
      </c>
    </row>
    <row r="34" spans="1:22" ht="15.5" x14ac:dyDescent="0.35">
      <c r="A34" s="7" t="s">
        <v>52</v>
      </c>
      <c r="B34" s="10">
        <v>12121</v>
      </c>
      <c r="C34" s="10">
        <v>12977</v>
      </c>
      <c r="D34" s="10">
        <v>14335</v>
      </c>
      <c r="E34" s="10">
        <v>15306</v>
      </c>
      <c r="F34" s="10">
        <v>15794</v>
      </c>
      <c r="G34" s="10">
        <v>15993</v>
      </c>
      <c r="H34" s="10">
        <v>16337</v>
      </c>
      <c r="I34" s="10">
        <v>16909</v>
      </c>
      <c r="J34" s="10">
        <v>15439</v>
      </c>
      <c r="K34" s="10">
        <v>15290</v>
      </c>
      <c r="L34" s="10">
        <v>16403</v>
      </c>
      <c r="M34" s="10">
        <v>16498</v>
      </c>
      <c r="N34" s="10">
        <v>16514</v>
      </c>
      <c r="O34" s="10">
        <v>15823</v>
      </c>
      <c r="P34" s="10">
        <v>15106</v>
      </c>
      <c r="Q34" s="10">
        <v>64692</v>
      </c>
      <c r="R34" s="10">
        <v>286624</v>
      </c>
      <c r="S34" s="10">
        <v>120163</v>
      </c>
      <c r="T34" s="10">
        <v>83915</v>
      </c>
      <c r="U34" s="10">
        <v>49107</v>
      </c>
      <c r="V34" s="9">
        <f t="shared" si="1"/>
        <v>835346</v>
      </c>
    </row>
    <row r="35" spans="1:22" ht="15.5" x14ac:dyDescent="0.35">
      <c r="A35" s="7" t="s">
        <v>53</v>
      </c>
      <c r="B35" s="10">
        <v>17058</v>
      </c>
      <c r="C35" s="10">
        <v>16107</v>
      </c>
      <c r="D35" s="10">
        <v>16617</v>
      </c>
      <c r="E35" s="10">
        <v>16705</v>
      </c>
      <c r="F35" s="10">
        <v>16408</v>
      </c>
      <c r="G35" s="10">
        <v>15705</v>
      </c>
      <c r="H35" s="10">
        <v>15148</v>
      </c>
      <c r="I35" s="10">
        <v>14957</v>
      </c>
      <c r="J35" s="10">
        <v>14619</v>
      </c>
      <c r="K35" s="10">
        <v>14433</v>
      </c>
      <c r="L35" s="10">
        <v>14316</v>
      </c>
      <c r="M35" s="10">
        <v>13664</v>
      </c>
      <c r="N35" s="10">
        <v>13456</v>
      </c>
      <c r="O35" s="10">
        <v>12176</v>
      </c>
      <c r="P35" s="10">
        <v>10786</v>
      </c>
      <c r="Q35" s="10">
        <v>42293</v>
      </c>
      <c r="R35" s="10">
        <v>177555</v>
      </c>
      <c r="S35" s="10">
        <v>79478</v>
      </c>
      <c r="T35" s="10">
        <v>63460</v>
      </c>
      <c r="U35" s="10">
        <v>67191</v>
      </c>
      <c r="V35" s="9">
        <f t="shared" si="1"/>
        <v>652132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pane xSplit="1" ySplit="3" topLeftCell="B11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1.453125" defaultRowHeight="16.5" x14ac:dyDescent="0.45"/>
  <cols>
    <col min="1" max="1" width="21.08984375" style="12" customWidth="1"/>
    <col min="2" max="2" width="16.6328125" style="12" customWidth="1"/>
    <col min="3" max="4" width="13.08984375" style="12" bestFit="1" customWidth="1"/>
    <col min="5" max="5" width="16.36328125" style="12" customWidth="1"/>
    <col min="6" max="8" width="13.08984375" style="12" bestFit="1" customWidth="1"/>
    <col min="9" max="9" width="14.08984375" style="12" bestFit="1" customWidth="1"/>
    <col min="10" max="16384" width="11.453125" style="12"/>
  </cols>
  <sheetData>
    <row r="1" spans="1:9" x14ac:dyDescent="0.45">
      <c r="A1" s="11" t="s">
        <v>65</v>
      </c>
    </row>
    <row r="2" spans="1:9" s="22" customFormat="1" ht="31.5" customHeight="1" x14ac:dyDescent="0.35">
      <c r="A2" s="19"/>
      <c r="B2" s="20" t="s">
        <v>58</v>
      </c>
      <c r="C2" s="21">
        <v>1</v>
      </c>
      <c r="D2" s="21">
        <v>1</v>
      </c>
      <c r="E2" s="21">
        <v>0.5</v>
      </c>
      <c r="F2" s="21">
        <v>0.5</v>
      </c>
      <c r="G2" s="21">
        <v>0.5</v>
      </c>
      <c r="H2" s="21">
        <v>0.5</v>
      </c>
      <c r="I2" s="20"/>
    </row>
    <row r="3" spans="1:9" s="24" customFormat="1" ht="41.25" customHeight="1" x14ac:dyDescent="0.45">
      <c r="A3" s="23" t="s">
        <v>0</v>
      </c>
      <c r="B3" s="14" t="s">
        <v>60</v>
      </c>
      <c r="C3" s="14" t="s">
        <v>61</v>
      </c>
      <c r="D3" s="14" t="s">
        <v>62</v>
      </c>
      <c r="E3" s="14" t="s">
        <v>59</v>
      </c>
      <c r="F3" s="14" t="s">
        <v>55</v>
      </c>
      <c r="G3" s="14" t="s">
        <v>56</v>
      </c>
      <c r="H3" s="14" t="s">
        <v>57</v>
      </c>
      <c r="I3" s="14" t="s">
        <v>21</v>
      </c>
    </row>
    <row r="4" spans="1:9" x14ac:dyDescent="0.45">
      <c r="A4" s="25" t="s">
        <v>21</v>
      </c>
      <c r="B4" s="26">
        <v>566019</v>
      </c>
      <c r="C4" s="26">
        <v>1156506</v>
      </c>
      <c r="D4" s="26">
        <v>1156506</v>
      </c>
      <c r="E4" s="26">
        <v>3105938</v>
      </c>
      <c r="F4" s="16">
        <v>2307024</v>
      </c>
      <c r="G4" s="16">
        <v>8262696</v>
      </c>
      <c r="H4" s="16">
        <v>3753789</v>
      </c>
      <c r="I4" s="16">
        <v>19742459</v>
      </c>
    </row>
    <row r="5" spans="1:9" x14ac:dyDescent="0.45">
      <c r="A5" s="18" t="s">
        <v>22</v>
      </c>
      <c r="B5" s="26">
        <v>5268</v>
      </c>
      <c r="C5" s="26">
        <v>10353</v>
      </c>
      <c r="D5" s="26">
        <v>10353</v>
      </c>
      <c r="E5" s="26">
        <v>26350</v>
      </c>
      <c r="F5" s="16">
        <v>21076</v>
      </c>
      <c r="G5" s="16">
        <v>67034</v>
      </c>
      <c r="H5" s="16">
        <v>32515</v>
      </c>
      <c r="I5" s="16">
        <v>167681</v>
      </c>
    </row>
    <row r="6" spans="1:9" x14ac:dyDescent="0.45">
      <c r="A6" s="18" t="s">
        <v>23</v>
      </c>
      <c r="B6" s="26">
        <v>12814</v>
      </c>
      <c r="C6" s="26">
        <v>25015</v>
      </c>
      <c r="D6" s="26">
        <v>25015</v>
      </c>
      <c r="E6" s="26">
        <v>67684</v>
      </c>
      <c r="F6" s="16">
        <v>62806</v>
      </c>
      <c r="G6" s="16">
        <v>214241</v>
      </c>
      <c r="H6" s="16">
        <v>99774</v>
      </c>
      <c r="I6" s="16">
        <v>494535</v>
      </c>
    </row>
    <row r="7" spans="1:9" x14ac:dyDescent="0.45">
      <c r="A7" s="18" t="s">
        <v>24</v>
      </c>
      <c r="B7" s="26">
        <v>2135</v>
      </c>
      <c r="C7" s="26">
        <v>5327</v>
      </c>
      <c r="D7" s="26">
        <v>5327</v>
      </c>
      <c r="E7" s="26">
        <v>14294</v>
      </c>
      <c r="F7" s="16">
        <v>10829</v>
      </c>
      <c r="G7" s="16">
        <v>42456</v>
      </c>
      <c r="H7" s="16">
        <v>19683</v>
      </c>
      <c r="I7" s="16">
        <v>97916</v>
      </c>
    </row>
    <row r="8" spans="1:9" x14ac:dyDescent="0.45">
      <c r="A8" s="18" t="s">
        <v>25</v>
      </c>
      <c r="B8" s="26">
        <v>3641</v>
      </c>
      <c r="C8" s="26">
        <v>6883</v>
      </c>
      <c r="D8" s="26">
        <v>6883</v>
      </c>
      <c r="E8" s="26">
        <v>22301</v>
      </c>
      <c r="F8" s="16">
        <v>18532</v>
      </c>
      <c r="G8" s="16">
        <v>60326</v>
      </c>
      <c r="H8" s="16">
        <v>27552</v>
      </c>
      <c r="I8" s="16">
        <v>142477</v>
      </c>
    </row>
    <row r="9" spans="1:9" x14ac:dyDescent="0.45">
      <c r="A9" s="18" t="s">
        <v>26</v>
      </c>
      <c r="B9" s="26">
        <v>9325</v>
      </c>
      <c r="C9" s="26">
        <v>15746</v>
      </c>
      <c r="D9" s="26">
        <v>15746</v>
      </c>
      <c r="E9" s="26">
        <v>42556</v>
      </c>
      <c r="F9" s="16">
        <v>46038</v>
      </c>
      <c r="G9" s="16">
        <v>103372</v>
      </c>
      <c r="H9" s="16">
        <v>45175</v>
      </c>
      <c r="I9" s="16">
        <v>268633</v>
      </c>
    </row>
    <row r="10" spans="1:9" x14ac:dyDescent="0.45">
      <c r="A10" s="18" t="s">
        <v>27</v>
      </c>
      <c r="B10" s="26">
        <v>2424</v>
      </c>
      <c r="C10" s="26">
        <v>4529</v>
      </c>
      <c r="D10" s="26">
        <v>4529</v>
      </c>
      <c r="E10" s="26">
        <v>12596</v>
      </c>
      <c r="F10" s="16">
        <v>11017</v>
      </c>
      <c r="G10" s="16">
        <v>40032</v>
      </c>
      <c r="H10" s="16">
        <v>20243</v>
      </c>
      <c r="I10" s="16">
        <v>92946</v>
      </c>
    </row>
    <row r="11" spans="1:9" x14ac:dyDescent="0.45">
      <c r="A11" s="18" t="s">
        <v>28</v>
      </c>
      <c r="B11" s="16">
        <v>46653</v>
      </c>
      <c r="C11" s="16">
        <v>95013</v>
      </c>
      <c r="D11" s="16">
        <v>95013</v>
      </c>
      <c r="E11" s="16">
        <v>222090</v>
      </c>
      <c r="F11" s="16">
        <v>120342</v>
      </c>
      <c r="G11" s="16">
        <v>394052</v>
      </c>
      <c r="H11" s="16">
        <v>157559</v>
      </c>
      <c r="I11" s="16">
        <v>1084069</v>
      </c>
    </row>
    <row r="12" spans="1:9" x14ac:dyDescent="0.45">
      <c r="A12" s="18" t="s">
        <v>29</v>
      </c>
      <c r="B12" s="16">
        <v>11966</v>
      </c>
      <c r="C12" s="16">
        <v>24446</v>
      </c>
      <c r="D12" s="16">
        <v>24446</v>
      </c>
      <c r="E12" s="16">
        <v>70275</v>
      </c>
      <c r="F12" s="16">
        <v>60293</v>
      </c>
      <c r="G12" s="16">
        <v>198209</v>
      </c>
      <c r="H12" s="16">
        <v>90448</v>
      </c>
      <c r="I12" s="16">
        <v>468117</v>
      </c>
    </row>
    <row r="13" spans="1:9" x14ac:dyDescent="0.45">
      <c r="A13" s="18" t="s">
        <v>30</v>
      </c>
      <c r="B13" s="16">
        <v>20654</v>
      </c>
      <c r="C13" s="16">
        <v>45347</v>
      </c>
      <c r="D13" s="16">
        <v>45347</v>
      </c>
      <c r="E13" s="16">
        <v>113371</v>
      </c>
      <c r="F13" s="16">
        <v>77072</v>
      </c>
      <c r="G13" s="16">
        <v>397795</v>
      </c>
      <c r="H13" s="16">
        <v>192399</v>
      </c>
      <c r="I13" s="16">
        <v>871331</v>
      </c>
    </row>
    <row r="14" spans="1:9" x14ac:dyDescent="0.45">
      <c r="A14" s="18" t="s">
        <v>31</v>
      </c>
      <c r="B14" s="16">
        <v>6335</v>
      </c>
      <c r="C14" s="16">
        <v>12255</v>
      </c>
      <c r="D14" s="16">
        <v>12255</v>
      </c>
      <c r="E14" s="16">
        <v>38054</v>
      </c>
      <c r="F14" s="16">
        <v>30841</v>
      </c>
      <c r="G14" s="16">
        <v>96450</v>
      </c>
      <c r="H14" s="16">
        <v>40498</v>
      </c>
      <c r="I14" s="16">
        <v>230353</v>
      </c>
    </row>
    <row r="15" spans="1:9" x14ac:dyDescent="0.45">
      <c r="A15" s="18" t="s">
        <v>32</v>
      </c>
      <c r="B15" s="16">
        <v>32114</v>
      </c>
      <c r="C15" s="16">
        <v>64659</v>
      </c>
      <c r="D15" s="16">
        <v>64659</v>
      </c>
      <c r="E15" s="16">
        <v>181749</v>
      </c>
      <c r="F15" s="16">
        <v>153327</v>
      </c>
      <c r="G15" s="16">
        <v>486161</v>
      </c>
      <c r="H15" s="16">
        <v>223397</v>
      </c>
      <c r="I15" s="16">
        <v>1173952</v>
      </c>
    </row>
    <row r="16" spans="1:9" x14ac:dyDescent="0.45">
      <c r="A16" s="18" t="s">
        <v>33</v>
      </c>
      <c r="B16" s="16">
        <v>24634</v>
      </c>
      <c r="C16" s="16">
        <v>51020</v>
      </c>
      <c r="D16" s="16">
        <v>51020</v>
      </c>
      <c r="E16" s="16">
        <v>147792</v>
      </c>
      <c r="F16" s="16">
        <v>118398</v>
      </c>
      <c r="G16" s="16">
        <v>357182</v>
      </c>
      <c r="H16" s="16">
        <v>134837</v>
      </c>
      <c r="I16" s="16">
        <v>860249</v>
      </c>
    </row>
    <row r="17" spans="1:9" x14ac:dyDescent="0.45">
      <c r="A17" s="18" t="s">
        <v>34</v>
      </c>
      <c r="B17" s="16">
        <v>13855</v>
      </c>
      <c r="C17" s="16">
        <v>28753</v>
      </c>
      <c r="D17" s="16">
        <v>28753</v>
      </c>
      <c r="E17" s="16">
        <v>86251</v>
      </c>
      <c r="F17" s="16">
        <v>57279</v>
      </c>
      <c r="G17" s="16">
        <v>224029</v>
      </c>
      <c r="H17" s="16">
        <v>105716</v>
      </c>
      <c r="I17" s="16">
        <v>530781</v>
      </c>
    </row>
    <row r="18" spans="1:9" x14ac:dyDescent="0.45">
      <c r="A18" s="18" t="s">
        <v>35</v>
      </c>
      <c r="B18" s="16">
        <v>37295</v>
      </c>
      <c r="C18" s="16">
        <v>73039</v>
      </c>
      <c r="D18" s="16">
        <v>73039</v>
      </c>
      <c r="E18" s="16">
        <v>188170</v>
      </c>
      <c r="F18" s="16">
        <v>156337</v>
      </c>
      <c r="G18" s="16">
        <v>511746</v>
      </c>
      <c r="H18" s="16">
        <v>250209</v>
      </c>
      <c r="I18" s="16">
        <v>1252540</v>
      </c>
    </row>
    <row r="19" spans="1:9" x14ac:dyDescent="0.45">
      <c r="A19" s="18" t="s">
        <v>36</v>
      </c>
      <c r="B19" s="16">
        <v>74268</v>
      </c>
      <c r="C19" s="16">
        <v>168656</v>
      </c>
      <c r="D19" s="16">
        <v>168656</v>
      </c>
      <c r="E19" s="16">
        <v>477964</v>
      </c>
      <c r="F19" s="16">
        <v>348195</v>
      </c>
      <c r="G19" s="16">
        <v>1407711</v>
      </c>
      <c r="H19" s="16">
        <v>646509</v>
      </c>
      <c r="I19" s="16">
        <v>3217691</v>
      </c>
    </row>
    <row r="20" spans="1:9" x14ac:dyDescent="0.45">
      <c r="A20" s="18" t="s">
        <v>37</v>
      </c>
      <c r="B20" s="16">
        <v>27324</v>
      </c>
      <c r="C20" s="16">
        <v>55329</v>
      </c>
      <c r="D20" s="16">
        <v>55329</v>
      </c>
      <c r="E20" s="16">
        <v>131265</v>
      </c>
      <c r="F20" s="16">
        <v>88200</v>
      </c>
      <c r="G20" s="16">
        <v>296491</v>
      </c>
      <c r="H20" s="16">
        <v>134146</v>
      </c>
      <c r="I20" s="16">
        <v>760760</v>
      </c>
    </row>
    <row r="21" spans="1:9" x14ac:dyDescent="0.45">
      <c r="A21" s="18" t="s">
        <v>38</v>
      </c>
      <c r="B21" s="16">
        <v>8679</v>
      </c>
      <c r="C21" s="16">
        <v>17977</v>
      </c>
      <c r="D21" s="16">
        <v>17977</v>
      </c>
      <c r="E21" s="16">
        <v>53147</v>
      </c>
      <c r="F21" s="16">
        <v>46426</v>
      </c>
      <c r="G21" s="16">
        <v>168162</v>
      </c>
      <c r="H21" s="16">
        <v>69314</v>
      </c>
      <c r="I21" s="16">
        <v>373003</v>
      </c>
    </row>
    <row r="22" spans="1:9" x14ac:dyDescent="0.45">
      <c r="A22" s="18" t="s">
        <v>39</v>
      </c>
      <c r="B22" s="16">
        <v>4261</v>
      </c>
      <c r="C22" s="16">
        <v>9738</v>
      </c>
      <c r="D22" s="16">
        <v>9738</v>
      </c>
      <c r="E22" s="16">
        <v>30168</v>
      </c>
      <c r="F22" s="16">
        <v>22193</v>
      </c>
      <c r="G22" s="16">
        <v>79304</v>
      </c>
      <c r="H22" s="16">
        <v>35566</v>
      </c>
      <c r="I22" s="16">
        <v>186707</v>
      </c>
    </row>
    <row r="23" spans="1:9" x14ac:dyDescent="0.45">
      <c r="A23" s="18" t="s">
        <v>40</v>
      </c>
      <c r="B23" s="16">
        <v>24862</v>
      </c>
      <c r="C23" s="16">
        <v>45572</v>
      </c>
      <c r="D23" s="16">
        <v>45572</v>
      </c>
      <c r="E23" s="16">
        <v>92655</v>
      </c>
      <c r="F23" s="16">
        <v>75428</v>
      </c>
      <c r="G23" s="16">
        <v>229611</v>
      </c>
      <c r="H23" s="16">
        <v>113161</v>
      </c>
      <c r="I23" s="16">
        <v>601999</v>
      </c>
    </row>
    <row r="24" spans="1:9" x14ac:dyDescent="0.45">
      <c r="A24" s="18" t="s">
        <v>41</v>
      </c>
      <c r="B24" s="16">
        <v>22130</v>
      </c>
      <c r="C24" s="16">
        <v>46312</v>
      </c>
      <c r="D24" s="16">
        <v>46312</v>
      </c>
      <c r="E24" s="16">
        <v>118174</v>
      </c>
      <c r="F24" s="16">
        <v>80103</v>
      </c>
      <c r="G24" s="16">
        <v>309063</v>
      </c>
      <c r="H24" s="16">
        <v>125937</v>
      </c>
      <c r="I24" s="16">
        <v>725901</v>
      </c>
    </row>
    <row r="25" spans="1:9" x14ac:dyDescent="0.45">
      <c r="A25" s="18" t="s">
        <v>42</v>
      </c>
      <c r="B25" s="16">
        <v>43411</v>
      </c>
      <c r="C25" s="16">
        <v>87731</v>
      </c>
      <c r="D25" s="16">
        <v>87731</v>
      </c>
      <c r="E25" s="16">
        <v>218016</v>
      </c>
      <c r="F25" s="16">
        <v>127832</v>
      </c>
      <c r="G25" s="16">
        <v>523530</v>
      </c>
      <c r="H25" s="16">
        <v>228030</v>
      </c>
      <c r="I25" s="16">
        <v>1272870</v>
      </c>
    </row>
    <row r="26" spans="1:9" x14ac:dyDescent="0.45">
      <c r="A26" s="18" t="s">
        <v>43</v>
      </c>
      <c r="B26" s="16">
        <v>11607</v>
      </c>
      <c r="C26" s="16">
        <v>22867</v>
      </c>
      <c r="D26" s="16">
        <v>22867</v>
      </c>
      <c r="E26" s="16">
        <v>58406</v>
      </c>
      <c r="F26" s="16">
        <v>48174</v>
      </c>
      <c r="G26" s="16">
        <v>160169</v>
      </c>
      <c r="H26" s="16">
        <v>78806</v>
      </c>
      <c r="I26" s="16">
        <v>391289</v>
      </c>
    </row>
    <row r="27" spans="1:9" x14ac:dyDescent="0.45">
      <c r="A27" s="18" t="s">
        <v>44</v>
      </c>
      <c r="B27" s="16">
        <v>8800</v>
      </c>
      <c r="C27" s="16">
        <v>17843</v>
      </c>
      <c r="D27" s="16">
        <v>17843</v>
      </c>
      <c r="E27" s="16">
        <v>45779</v>
      </c>
      <c r="F27" s="16">
        <v>36583</v>
      </c>
      <c r="G27" s="16">
        <v>117637</v>
      </c>
      <c r="H27" s="16">
        <v>62393</v>
      </c>
      <c r="I27" s="16">
        <v>298078</v>
      </c>
    </row>
    <row r="28" spans="1:9" x14ac:dyDescent="0.45">
      <c r="A28" s="18" t="s">
        <v>45</v>
      </c>
      <c r="B28" s="16">
        <v>14055</v>
      </c>
      <c r="C28" s="16">
        <v>24460</v>
      </c>
      <c r="D28" s="16">
        <v>24460</v>
      </c>
      <c r="E28" s="16">
        <v>65321</v>
      </c>
      <c r="F28" s="16">
        <v>46245</v>
      </c>
      <c r="G28" s="16">
        <v>166031</v>
      </c>
      <c r="H28" s="16">
        <v>72801</v>
      </c>
      <c r="I28" s="16">
        <v>399318</v>
      </c>
    </row>
    <row r="29" spans="1:9" x14ac:dyDescent="0.45">
      <c r="A29" s="18" t="s">
        <v>46</v>
      </c>
      <c r="B29" s="16">
        <v>8856</v>
      </c>
      <c r="C29" s="16">
        <v>18870</v>
      </c>
      <c r="D29" s="16">
        <v>18870</v>
      </c>
      <c r="E29" s="16">
        <v>60120</v>
      </c>
      <c r="F29" s="16">
        <v>43694</v>
      </c>
      <c r="G29" s="16">
        <v>167729</v>
      </c>
      <c r="H29" s="16">
        <v>74051</v>
      </c>
      <c r="I29" s="16">
        <v>383334</v>
      </c>
    </row>
    <row r="30" spans="1:9" x14ac:dyDescent="0.45">
      <c r="A30" s="18" t="s">
        <v>47</v>
      </c>
      <c r="B30" s="16">
        <v>9930</v>
      </c>
      <c r="C30" s="16">
        <v>20831</v>
      </c>
      <c r="D30" s="16">
        <v>20831</v>
      </c>
      <c r="E30" s="16">
        <v>55218</v>
      </c>
      <c r="F30" s="16">
        <v>49904</v>
      </c>
      <c r="G30" s="16">
        <v>157780</v>
      </c>
      <c r="H30" s="16">
        <v>77025</v>
      </c>
      <c r="I30" s="16">
        <v>381589</v>
      </c>
    </row>
    <row r="31" spans="1:9" x14ac:dyDescent="0.45">
      <c r="A31" s="18" t="s">
        <v>48</v>
      </c>
      <c r="B31" s="16">
        <v>14553</v>
      </c>
      <c r="C31" s="16">
        <v>27818</v>
      </c>
      <c r="D31" s="16">
        <v>27818</v>
      </c>
      <c r="E31" s="16">
        <v>83265</v>
      </c>
      <c r="F31" s="16">
        <v>57046</v>
      </c>
      <c r="G31" s="16">
        <v>225755</v>
      </c>
      <c r="H31" s="16">
        <v>107298</v>
      </c>
      <c r="I31" s="16">
        <v>529000</v>
      </c>
    </row>
    <row r="32" spans="1:9" x14ac:dyDescent="0.45">
      <c r="A32" s="18" t="s">
        <v>49</v>
      </c>
      <c r="B32" s="16">
        <v>13150</v>
      </c>
      <c r="C32" s="16">
        <v>24872</v>
      </c>
      <c r="D32" s="16">
        <v>24872</v>
      </c>
      <c r="E32" s="16">
        <v>68518</v>
      </c>
      <c r="F32" s="16">
        <v>56687</v>
      </c>
      <c r="G32" s="16">
        <v>195189</v>
      </c>
      <c r="H32" s="16">
        <v>89405</v>
      </c>
      <c r="I32" s="16">
        <v>459543</v>
      </c>
    </row>
    <row r="33" spans="1:9" x14ac:dyDescent="0.45">
      <c r="A33" s="18" t="s">
        <v>50</v>
      </c>
      <c r="B33" s="16">
        <v>8697</v>
      </c>
      <c r="C33" s="16">
        <v>17631</v>
      </c>
      <c r="D33" s="16">
        <v>17631</v>
      </c>
      <c r="E33" s="16">
        <v>49449</v>
      </c>
      <c r="F33" s="16">
        <v>33154</v>
      </c>
      <c r="G33" s="16">
        <v>137805</v>
      </c>
      <c r="H33" s="16">
        <v>56984</v>
      </c>
      <c r="I33" s="16">
        <v>312654</v>
      </c>
    </row>
    <row r="34" spans="1:9" x14ac:dyDescent="0.45">
      <c r="A34" s="18" t="s">
        <v>51</v>
      </c>
      <c r="B34" s="16">
        <v>27733</v>
      </c>
      <c r="C34" s="16">
        <v>58530</v>
      </c>
      <c r="D34" s="16">
        <v>58530</v>
      </c>
      <c r="E34" s="16">
        <v>179728</v>
      </c>
      <c r="F34" s="16">
        <v>138623</v>
      </c>
      <c r="G34" s="16">
        <v>495554</v>
      </c>
      <c r="H34" s="16">
        <v>242537</v>
      </c>
      <c r="I34" s="16">
        <v>1173502</v>
      </c>
    </row>
    <row r="35" spans="1:9" x14ac:dyDescent="0.45">
      <c r="A35" s="18" t="s">
        <v>52</v>
      </c>
      <c r="B35" s="16">
        <v>6061</v>
      </c>
      <c r="C35" s="16">
        <v>12977</v>
      </c>
      <c r="D35" s="16">
        <v>12977</v>
      </c>
      <c r="E35" s="16">
        <v>43705</v>
      </c>
      <c r="F35" s="16">
        <v>38248</v>
      </c>
      <c r="G35" s="16">
        <v>143312</v>
      </c>
      <c r="H35" s="16">
        <v>60082</v>
      </c>
      <c r="I35" s="16">
        <v>311301</v>
      </c>
    </row>
    <row r="36" spans="1:9" x14ac:dyDescent="0.45">
      <c r="A36" s="18" t="s">
        <v>53</v>
      </c>
      <c r="B36" s="16">
        <v>8529</v>
      </c>
      <c r="C36" s="16">
        <v>16107</v>
      </c>
      <c r="D36" s="16">
        <v>16107</v>
      </c>
      <c r="E36" s="16">
        <v>41507</v>
      </c>
      <c r="F36" s="16">
        <v>26102</v>
      </c>
      <c r="G36" s="16">
        <v>88778</v>
      </c>
      <c r="H36" s="16">
        <v>39739</v>
      </c>
      <c r="I36" s="16">
        <v>228340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workbookViewId="0">
      <selection activeCell="A3" sqref="A3"/>
    </sheetView>
  </sheetViews>
  <sheetFormatPr baseColWidth="10" defaultColWidth="11.453125" defaultRowHeight="16.5" x14ac:dyDescent="0.45"/>
  <cols>
    <col min="1" max="1" width="21.54296875" style="12" customWidth="1"/>
    <col min="2" max="4" width="11.6328125" style="12" bestFit="1" customWidth="1"/>
    <col min="5" max="5" width="13.36328125" style="12" bestFit="1" customWidth="1"/>
    <col min="6" max="6" width="11.6328125" style="12" bestFit="1" customWidth="1"/>
    <col min="7" max="7" width="13.36328125" style="12" bestFit="1" customWidth="1"/>
    <col min="8" max="8" width="11.6328125" style="12" bestFit="1" customWidth="1"/>
    <col min="9" max="9" width="12.90625" style="12" bestFit="1" customWidth="1"/>
    <col min="10" max="16384" width="11.453125" style="12"/>
  </cols>
  <sheetData>
    <row r="1" spans="1:9" x14ac:dyDescent="0.45">
      <c r="A1" s="11" t="s">
        <v>66</v>
      </c>
    </row>
    <row r="2" spans="1:9" x14ac:dyDescent="0.45">
      <c r="A2" s="11" t="s">
        <v>70</v>
      </c>
    </row>
    <row r="3" spans="1:9" ht="33" x14ac:dyDescent="0.45">
      <c r="A3" s="13" t="s">
        <v>64</v>
      </c>
      <c r="B3" s="14" t="s">
        <v>60</v>
      </c>
      <c r="C3" s="14" t="s">
        <v>61</v>
      </c>
      <c r="D3" s="14" t="s">
        <v>62</v>
      </c>
      <c r="E3" s="14" t="s">
        <v>59</v>
      </c>
      <c r="F3" s="14" t="s">
        <v>55</v>
      </c>
      <c r="G3" s="14" t="s">
        <v>56</v>
      </c>
      <c r="H3" s="14" t="s">
        <v>57</v>
      </c>
      <c r="I3" s="14" t="s">
        <v>21</v>
      </c>
    </row>
    <row r="4" spans="1:9" ht="18" x14ac:dyDescent="0.5">
      <c r="A4" s="15" t="s">
        <v>63</v>
      </c>
      <c r="B4" s="16">
        <v>126549</v>
      </c>
      <c r="C4" s="16">
        <v>138295</v>
      </c>
      <c r="D4" s="16">
        <v>137555</v>
      </c>
      <c r="E4" s="16">
        <v>1369739</v>
      </c>
      <c r="F4" s="16">
        <v>791229</v>
      </c>
      <c r="G4" s="16">
        <v>4030953</v>
      </c>
      <c r="H4" s="16">
        <v>556103</v>
      </c>
      <c r="I4" s="17">
        <f>SUM(B4:H4)</f>
        <v>7150423</v>
      </c>
    </row>
    <row r="5" spans="1:9" x14ac:dyDescent="0.45">
      <c r="A5" s="18" t="s">
        <v>22</v>
      </c>
      <c r="B5" s="16">
        <v>543</v>
      </c>
      <c r="C5" s="16">
        <v>1263</v>
      </c>
      <c r="D5" s="16">
        <v>807</v>
      </c>
      <c r="E5" s="16">
        <v>13165</v>
      </c>
      <c r="F5" s="16">
        <v>6201</v>
      </c>
      <c r="G5" s="16">
        <v>33310</v>
      </c>
      <c r="H5" s="16">
        <v>6990</v>
      </c>
      <c r="I5" s="17">
        <f t="shared" ref="I5:I36" si="0">SUM(B5:H5)</f>
        <v>62279</v>
      </c>
    </row>
    <row r="6" spans="1:9" x14ac:dyDescent="0.45">
      <c r="A6" s="18" t="s">
        <v>23</v>
      </c>
      <c r="B6" s="16">
        <v>673</v>
      </c>
      <c r="C6" s="16">
        <v>2754</v>
      </c>
      <c r="D6" s="16">
        <v>2651</v>
      </c>
      <c r="E6" s="16">
        <v>31509</v>
      </c>
      <c r="F6" s="16">
        <v>4087</v>
      </c>
      <c r="G6" s="16">
        <v>36961</v>
      </c>
      <c r="H6" s="16">
        <v>5620</v>
      </c>
      <c r="I6" s="17">
        <f t="shared" si="0"/>
        <v>84255</v>
      </c>
    </row>
    <row r="7" spans="1:9" x14ac:dyDescent="0.45">
      <c r="A7" s="18" t="s">
        <v>24</v>
      </c>
      <c r="B7" s="16">
        <v>7</v>
      </c>
      <c r="C7" s="16">
        <v>681</v>
      </c>
      <c r="D7" s="16">
        <v>498</v>
      </c>
      <c r="E7" s="16">
        <v>4569</v>
      </c>
      <c r="F7" s="16">
        <v>1813</v>
      </c>
      <c r="G7" s="16">
        <v>9101</v>
      </c>
      <c r="H7" s="16">
        <v>890</v>
      </c>
      <c r="I7" s="17">
        <f t="shared" si="0"/>
        <v>17559</v>
      </c>
    </row>
    <row r="8" spans="1:9" x14ac:dyDescent="0.45">
      <c r="A8" s="18" t="s">
        <v>25</v>
      </c>
      <c r="B8" s="16">
        <v>2747</v>
      </c>
      <c r="C8" s="16">
        <v>478</v>
      </c>
      <c r="D8" s="16">
        <v>381</v>
      </c>
      <c r="E8" s="16">
        <v>2048</v>
      </c>
      <c r="F8" s="16">
        <v>2985</v>
      </c>
      <c r="G8" s="16">
        <v>36087</v>
      </c>
      <c r="H8" s="16">
        <v>3197</v>
      </c>
      <c r="I8" s="17">
        <f t="shared" si="0"/>
        <v>47923</v>
      </c>
    </row>
    <row r="9" spans="1:9" x14ac:dyDescent="0.45">
      <c r="A9" s="18" t="s">
        <v>26</v>
      </c>
      <c r="B9" s="16">
        <v>2232</v>
      </c>
      <c r="C9" s="16">
        <v>628</v>
      </c>
      <c r="D9" s="16">
        <v>553</v>
      </c>
      <c r="E9" s="16">
        <v>16356</v>
      </c>
      <c r="F9" s="16">
        <v>2071</v>
      </c>
      <c r="G9" s="16">
        <v>26348</v>
      </c>
      <c r="H9" s="16">
        <v>271</v>
      </c>
      <c r="I9" s="17">
        <f t="shared" si="0"/>
        <v>48459</v>
      </c>
    </row>
    <row r="10" spans="1:9" x14ac:dyDescent="0.45">
      <c r="A10" s="18" t="s">
        <v>27</v>
      </c>
      <c r="B10" s="16">
        <v>593</v>
      </c>
      <c r="C10" s="16">
        <v>345</v>
      </c>
      <c r="D10" s="16">
        <v>218</v>
      </c>
      <c r="E10" s="16">
        <v>3956</v>
      </c>
      <c r="F10" s="16">
        <v>1778</v>
      </c>
      <c r="G10" s="16">
        <v>8733</v>
      </c>
      <c r="H10" s="16">
        <v>2055</v>
      </c>
      <c r="I10" s="17">
        <f t="shared" si="0"/>
        <v>17678</v>
      </c>
    </row>
    <row r="11" spans="1:9" x14ac:dyDescent="0.45">
      <c r="A11" s="18" t="s">
        <v>28</v>
      </c>
      <c r="B11" s="16">
        <v>10414</v>
      </c>
      <c r="C11" s="16">
        <v>13977</v>
      </c>
      <c r="D11" s="16">
        <v>14763</v>
      </c>
      <c r="E11" s="16">
        <v>184313</v>
      </c>
      <c r="F11" s="16">
        <v>97796</v>
      </c>
      <c r="G11" s="16">
        <v>247325</v>
      </c>
      <c r="H11" s="16">
        <v>21688</v>
      </c>
      <c r="I11" s="17">
        <f t="shared" si="0"/>
        <v>590276</v>
      </c>
    </row>
    <row r="12" spans="1:9" x14ac:dyDescent="0.45">
      <c r="A12" s="18" t="s">
        <v>29</v>
      </c>
      <c r="B12" s="16">
        <v>9530</v>
      </c>
      <c r="C12" s="16">
        <v>1533</v>
      </c>
      <c r="D12" s="16">
        <v>1021</v>
      </c>
      <c r="E12" s="16">
        <v>130622</v>
      </c>
      <c r="F12" s="16">
        <v>9550</v>
      </c>
      <c r="G12" s="16">
        <v>506478</v>
      </c>
      <c r="H12" s="16">
        <v>6056</v>
      </c>
      <c r="I12" s="17">
        <f t="shared" si="0"/>
        <v>664790</v>
      </c>
    </row>
    <row r="13" spans="1:9" x14ac:dyDescent="0.45">
      <c r="A13" s="18" t="s">
        <v>30</v>
      </c>
      <c r="B13" s="16">
        <v>1482</v>
      </c>
      <c r="C13" s="16">
        <v>2106</v>
      </c>
      <c r="D13" s="16">
        <v>1391</v>
      </c>
      <c r="E13" s="16">
        <v>96662</v>
      </c>
      <c r="F13" s="16">
        <v>55047</v>
      </c>
      <c r="G13" s="16">
        <v>350565</v>
      </c>
      <c r="H13" s="16">
        <v>58139</v>
      </c>
      <c r="I13" s="17">
        <f t="shared" si="0"/>
        <v>565392</v>
      </c>
    </row>
    <row r="14" spans="1:9" x14ac:dyDescent="0.45">
      <c r="A14" s="18" t="s">
        <v>31</v>
      </c>
      <c r="B14" s="16">
        <v>8226</v>
      </c>
      <c r="C14" s="16">
        <v>1309</v>
      </c>
      <c r="D14" s="16">
        <v>1050</v>
      </c>
      <c r="E14" s="16">
        <v>13759</v>
      </c>
      <c r="F14" s="16">
        <v>8423</v>
      </c>
      <c r="G14" s="16">
        <v>31497</v>
      </c>
      <c r="H14" s="16">
        <v>6083</v>
      </c>
      <c r="I14" s="17">
        <f t="shared" si="0"/>
        <v>70347</v>
      </c>
    </row>
    <row r="15" spans="1:9" x14ac:dyDescent="0.45">
      <c r="A15" s="18" t="s">
        <v>32</v>
      </c>
      <c r="B15" s="16">
        <v>65</v>
      </c>
      <c r="C15" s="16">
        <v>8596</v>
      </c>
      <c r="D15" s="16">
        <v>8047</v>
      </c>
      <c r="E15" s="16">
        <v>43545</v>
      </c>
      <c r="F15" s="16">
        <v>3277</v>
      </c>
      <c r="G15" s="16">
        <v>90440</v>
      </c>
      <c r="H15" s="16">
        <v>3133</v>
      </c>
      <c r="I15" s="17">
        <f t="shared" si="0"/>
        <v>157103</v>
      </c>
    </row>
    <row r="16" spans="1:9" x14ac:dyDescent="0.45">
      <c r="A16" s="18" t="s">
        <v>33</v>
      </c>
      <c r="B16" s="16">
        <v>16834</v>
      </c>
      <c r="C16" s="16">
        <v>3704</v>
      </c>
      <c r="D16" s="16">
        <v>3486</v>
      </c>
      <c r="E16" s="16">
        <v>25284</v>
      </c>
      <c r="F16" s="16">
        <v>18462</v>
      </c>
      <c r="G16" s="16">
        <v>103313</v>
      </c>
      <c r="H16" s="16">
        <v>17554</v>
      </c>
      <c r="I16" s="17">
        <f t="shared" si="0"/>
        <v>188637</v>
      </c>
    </row>
    <row r="17" spans="1:9" x14ac:dyDescent="0.45">
      <c r="A17" s="18" t="s">
        <v>34</v>
      </c>
      <c r="B17" s="16">
        <v>527</v>
      </c>
      <c r="C17" s="16">
        <v>2164</v>
      </c>
      <c r="D17" s="16">
        <v>2114</v>
      </c>
      <c r="E17" s="16">
        <v>13130</v>
      </c>
      <c r="F17" s="16">
        <v>5745</v>
      </c>
      <c r="G17" s="16">
        <v>46547</v>
      </c>
      <c r="H17" s="16">
        <v>8026</v>
      </c>
      <c r="I17" s="17">
        <f t="shared" si="0"/>
        <v>78253</v>
      </c>
    </row>
    <row r="18" spans="1:9" x14ac:dyDescent="0.45">
      <c r="A18" s="18" t="s">
        <v>35</v>
      </c>
      <c r="B18" s="16">
        <v>20296</v>
      </c>
      <c r="C18" s="16">
        <v>36135</v>
      </c>
      <c r="D18" s="16">
        <v>43958</v>
      </c>
      <c r="E18" s="16">
        <v>169135</v>
      </c>
      <c r="F18" s="16">
        <v>232920</v>
      </c>
      <c r="G18" s="16">
        <v>527784</v>
      </c>
      <c r="H18" s="16">
        <v>191769</v>
      </c>
      <c r="I18" s="17">
        <f t="shared" si="0"/>
        <v>1221997</v>
      </c>
    </row>
    <row r="19" spans="1:9" x14ac:dyDescent="0.45">
      <c r="A19" s="18" t="s">
        <v>36</v>
      </c>
      <c r="B19" s="16">
        <v>6002</v>
      </c>
      <c r="C19" s="16">
        <v>9146</v>
      </c>
      <c r="D19" s="16">
        <v>8179</v>
      </c>
      <c r="E19" s="16">
        <v>158942</v>
      </c>
      <c r="F19" s="16">
        <v>143470</v>
      </c>
      <c r="G19" s="16">
        <v>728350</v>
      </c>
      <c r="H19" s="16">
        <v>69182</v>
      </c>
      <c r="I19" s="17">
        <f t="shared" si="0"/>
        <v>1123271</v>
      </c>
    </row>
    <row r="20" spans="1:9" x14ac:dyDescent="0.45">
      <c r="A20" s="18" t="s">
        <v>37</v>
      </c>
      <c r="B20" s="16">
        <v>5831</v>
      </c>
      <c r="C20" s="16">
        <v>4816</v>
      </c>
      <c r="D20" s="16">
        <v>4857</v>
      </c>
      <c r="E20" s="16">
        <v>35470</v>
      </c>
      <c r="F20" s="16">
        <v>28537</v>
      </c>
      <c r="G20" s="16">
        <v>110699</v>
      </c>
      <c r="H20" s="16">
        <v>18373</v>
      </c>
      <c r="I20" s="17">
        <f t="shared" si="0"/>
        <v>208583</v>
      </c>
    </row>
    <row r="21" spans="1:9" x14ac:dyDescent="0.45">
      <c r="A21" s="18" t="s">
        <v>38</v>
      </c>
      <c r="B21" s="16">
        <v>717</v>
      </c>
      <c r="C21" s="16">
        <v>1440</v>
      </c>
      <c r="D21" s="16">
        <v>1373</v>
      </c>
      <c r="E21" s="16">
        <v>12425</v>
      </c>
      <c r="F21" s="16">
        <v>11931</v>
      </c>
      <c r="G21" s="16">
        <v>42948</v>
      </c>
      <c r="H21" s="16">
        <v>12749</v>
      </c>
      <c r="I21" s="17">
        <f t="shared" si="0"/>
        <v>83583</v>
      </c>
    </row>
    <row r="22" spans="1:9" x14ac:dyDescent="0.45">
      <c r="A22" s="18" t="s">
        <v>39</v>
      </c>
      <c r="B22" s="16">
        <v>228</v>
      </c>
      <c r="C22" s="16">
        <v>1231</v>
      </c>
      <c r="D22" s="16">
        <v>985</v>
      </c>
      <c r="E22" s="16">
        <v>11086</v>
      </c>
      <c r="F22" s="16">
        <v>7898</v>
      </c>
      <c r="G22" s="16">
        <v>29930</v>
      </c>
      <c r="H22" s="16">
        <v>6002</v>
      </c>
      <c r="I22" s="17">
        <f t="shared" si="0"/>
        <v>57360</v>
      </c>
    </row>
    <row r="23" spans="1:9" x14ac:dyDescent="0.45">
      <c r="A23" s="18" t="s">
        <v>40</v>
      </c>
      <c r="B23" s="16">
        <v>1619</v>
      </c>
      <c r="C23" s="16">
        <v>11284</v>
      </c>
      <c r="D23" s="16">
        <v>10864</v>
      </c>
      <c r="E23" s="16">
        <v>24303</v>
      </c>
      <c r="F23" s="16">
        <v>18649</v>
      </c>
      <c r="G23" s="16">
        <v>117345</v>
      </c>
      <c r="H23" s="16">
        <v>16156</v>
      </c>
      <c r="I23" s="17">
        <f t="shared" si="0"/>
        <v>200220</v>
      </c>
    </row>
    <row r="24" spans="1:9" x14ac:dyDescent="0.45">
      <c r="A24" s="18" t="s">
        <v>41</v>
      </c>
      <c r="B24" s="16">
        <v>506</v>
      </c>
      <c r="C24" s="16">
        <v>313</v>
      </c>
      <c r="D24" s="16">
        <v>326</v>
      </c>
      <c r="E24" s="16">
        <v>27068</v>
      </c>
      <c r="F24" s="16">
        <v>5231</v>
      </c>
      <c r="G24" s="16">
        <v>67830</v>
      </c>
      <c r="H24" s="16">
        <v>169</v>
      </c>
      <c r="I24" s="17">
        <f t="shared" si="0"/>
        <v>101443</v>
      </c>
    </row>
    <row r="25" spans="1:9" x14ac:dyDescent="0.45">
      <c r="A25" s="18" t="s">
        <v>42</v>
      </c>
      <c r="B25" s="16">
        <v>7441</v>
      </c>
      <c r="C25" s="16">
        <v>10711</v>
      </c>
      <c r="D25" s="16">
        <v>9896</v>
      </c>
      <c r="E25" s="16">
        <v>129439</v>
      </c>
      <c r="F25" s="16">
        <v>29297</v>
      </c>
      <c r="G25" s="16">
        <v>186725</v>
      </c>
      <c r="H25" s="16">
        <v>21552</v>
      </c>
      <c r="I25" s="17">
        <f t="shared" si="0"/>
        <v>395061</v>
      </c>
    </row>
    <row r="26" spans="1:9" x14ac:dyDescent="0.45">
      <c r="A26" s="18" t="s">
        <v>43</v>
      </c>
      <c r="B26" s="16">
        <v>1412</v>
      </c>
      <c r="C26" s="16">
        <v>1748</v>
      </c>
      <c r="D26" s="16">
        <v>1424</v>
      </c>
      <c r="E26" s="16">
        <v>14672</v>
      </c>
      <c r="F26" s="16">
        <v>3136</v>
      </c>
      <c r="G26" s="16">
        <v>29856</v>
      </c>
      <c r="H26" s="16">
        <v>2265</v>
      </c>
      <c r="I26" s="17">
        <f t="shared" si="0"/>
        <v>54513</v>
      </c>
    </row>
    <row r="27" spans="1:9" x14ac:dyDescent="0.45">
      <c r="A27" s="18" t="s">
        <v>44</v>
      </c>
      <c r="B27" s="16">
        <v>1556</v>
      </c>
      <c r="C27" s="16">
        <v>1393</v>
      </c>
      <c r="D27" s="16">
        <v>1146</v>
      </c>
      <c r="E27" s="16">
        <v>9473</v>
      </c>
      <c r="F27" s="16">
        <v>1612</v>
      </c>
      <c r="G27" s="16">
        <v>21548</v>
      </c>
      <c r="H27" s="16">
        <v>2274</v>
      </c>
      <c r="I27" s="17">
        <f t="shared" si="0"/>
        <v>39002</v>
      </c>
    </row>
    <row r="28" spans="1:9" x14ac:dyDescent="0.45">
      <c r="A28" s="18" t="s">
        <v>45</v>
      </c>
      <c r="B28" s="16">
        <v>12</v>
      </c>
      <c r="C28" s="16">
        <v>1278</v>
      </c>
      <c r="D28" s="16">
        <v>1157</v>
      </c>
      <c r="E28" s="16">
        <v>14916</v>
      </c>
      <c r="F28" s="16">
        <v>3358</v>
      </c>
      <c r="G28" s="16">
        <v>50356</v>
      </c>
      <c r="H28" s="16">
        <v>2133</v>
      </c>
      <c r="I28" s="17">
        <f t="shared" si="0"/>
        <v>73210</v>
      </c>
    </row>
    <row r="29" spans="1:9" x14ac:dyDescent="0.45">
      <c r="A29" s="18" t="s">
        <v>46</v>
      </c>
      <c r="B29" s="16">
        <v>1137</v>
      </c>
      <c r="C29" s="16">
        <v>2835</v>
      </c>
      <c r="D29" s="16">
        <v>2149</v>
      </c>
      <c r="E29" s="16">
        <v>26885</v>
      </c>
      <c r="F29" s="16">
        <v>15299</v>
      </c>
      <c r="G29" s="16">
        <v>61433</v>
      </c>
      <c r="H29" s="16">
        <v>6700</v>
      </c>
      <c r="I29" s="17">
        <f t="shared" si="0"/>
        <v>116438</v>
      </c>
    </row>
    <row r="30" spans="1:9" x14ac:dyDescent="0.45">
      <c r="A30" s="18" t="s">
        <v>47</v>
      </c>
      <c r="B30" s="16">
        <v>2937</v>
      </c>
      <c r="C30" s="16">
        <v>1521</v>
      </c>
      <c r="D30" s="16">
        <v>1105</v>
      </c>
      <c r="E30" s="16">
        <v>28800</v>
      </c>
      <c r="F30" s="16">
        <v>6418</v>
      </c>
      <c r="G30" s="16">
        <v>64544</v>
      </c>
      <c r="H30" s="16">
        <v>5434</v>
      </c>
      <c r="I30" s="17">
        <f t="shared" si="0"/>
        <v>110759</v>
      </c>
    </row>
    <row r="31" spans="1:9" x14ac:dyDescent="0.45">
      <c r="A31" s="18" t="s">
        <v>48</v>
      </c>
      <c r="B31" s="16">
        <v>5099</v>
      </c>
      <c r="C31" s="16">
        <v>3433</v>
      </c>
      <c r="D31" s="16">
        <v>2889</v>
      </c>
      <c r="E31" s="16">
        <v>25569</v>
      </c>
      <c r="F31" s="16">
        <v>31252</v>
      </c>
      <c r="G31" s="16">
        <v>77471</v>
      </c>
      <c r="H31" s="16">
        <v>21544</v>
      </c>
      <c r="I31" s="17">
        <f t="shared" si="0"/>
        <v>167257</v>
      </c>
    </row>
    <row r="32" spans="1:9" x14ac:dyDescent="0.45">
      <c r="A32" s="18" t="s">
        <v>49</v>
      </c>
      <c r="B32" s="16">
        <v>3519</v>
      </c>
      <c r="C32" s="16">
        <v>1792</v>
      </c>
      <c r="D32" s="16">
        <v>1342</v>
      </c>
      <c r="E32" s="16">
        <v>25148</v>
      </c>
      <c r="F32" s="16">
        <v>4608</v>
      </c>
      <c r="G32" s="16">
        <v>38353</v>
      </c>
      <c r="H32" s="16">
        <v>1476</v>
      </c>
      <c r="I32" s="17">
        <f t="shared" si="0"/>
        <v>76238</v>
      </c>
    </row>
    <row r="33" spans="1:9" x14ac:dyDescent="0.45">
      <c r="A33" s="18" t="s">
        <v>50</v>
      </c>
      <c r="B33" s="16">
        <v>3066</v>
      </c>
      <c r="C33" s="16">
        <v>1898</v>
      </c>
      <c r="D33" s="16">
        <v>2302</v>
      </c>
      <c r="E33" s="16">
        <v>14136</v>
      </c>
      <c r="F33" s="16">
        <v>9018</v>
      </c>
      <c r="G33" s="16">
        <v>96721</v>
      </c>
      <c r="H33" s="16">
        <v>21770</v>
      </c>
      <c r="I33" s="17">
        <f t="shared" si="0"/>
        <v>148911</v>
      </c>
    </row>
    <row r="34" spans="1:9" x14ac:dyDescent="0.45">
      <c r="A34" s="18" t="s">
        <v>51</v>
      </c>
      <c r="B34" s="16">
        <v>4648</v>
      </c>
      <c r="C34" s="16">
        <v>6245</v>
      </c>
      <c r="D34" s="16">
        <v>5342</v>
      </c>
      <c r="E34" s="16">
        <v>39359</v>
      </c>
      <c r="F34" s="16">
        <v>18334</v>
      </c>
      <c r="G34" s="16">
        <v>166700</v>
      </c>
      <c r="H34" s="16">
        <v>14141</v>
      </c>
      <c r="I34" s="17">
        <f t="shared" si="0"/>
        <v>254769</v>
      </c>
    </row>
    <row r="35" spans="1:9" x14ac:dyDescent="0.45">
      <c r="A35" s="18" t="s">
        <v>52</v>
      </c>
      <c r="B35" s="16">
        <v>5803</v>
      </c>
      <c r="C35" s="16">
        <v>781</v>
      </c>
      <c r="D35" s="16">
        <v>572</v>
      </c>
      <c r="E35" s="16">
        <v>14192</v>
      </c>
      <c r="F35" s="16">
        <v>1687</v>
      </c>
      <c r="G35" s="16">
        <v>34831</v>
      </c>
      <c r="H35" s="16">
        <v>1340</v>
      </c>
      <c r="I35" s="17">
        <f t="shared" si="0"/>
        <v>59206</v>
      </c>
    </row>
    <row r="36" spans="1:9" x14ac:dyDescent="0.45">
      <c r="A36" s="18" t="s">
        <v>53</v>
      </c>
      <c r="B36" s="16">
        <v>847</v>
      </c>
      <c r="C36" s="16">
        <v>757</v>
      </c>
      <c r="D36" s="16">
        <v>709</v>
      </c>
      <c r="E36" s="16">
        <v>9803</v>
      </c>
      <c r="F36" s="16">
        <v>1339</v>
      </c>
      <c r="G36" s="16">
        <v>50824</v>
      </c>
      <c r="H36" s="16">
        <v>1372</v>
      </c>
      <c r="I36" s="17">
        <f t="shared" si="0"/>
        <v>65651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6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I11" sqref="I11"/>
    </sheetView>
  </sheetViews>
  <sheetFormatPr baseColWidth="10" defaultColWidth="11.453125" defaultRowHeight="16.5" x14ac:dyDescent="0.45"/>
  <cols>
    <col min="1" max="1" width="21.54296875" style="12" customWidth="1"/>
    <col min="2" max="2" width="16.08984375" style="12" customWidth="1"/>
    <col min="3" max="4" width="21.90625" style="12" customWidth="1"/>
    <col min="5" max="5" width="16.08984375" style="12" customWidth="1"/>
    <col min="6" max="7" width="19.36328125" style="12" customWidth="1"/>
    <col min="8" max="8" width="16.08984375" style="12" customWidth="1"/>
    <col min="9" max="9" width="20.54296875" style="12" customWidth="1"/>
    <col min="10" max="10" width="18.6328125" style="12" customWidth="1"/>
    <col min="11" max="11" width="16.08984375" style="12" customWidth="1"/>
    <col min="12" max="13" width="19.08984375" style="12" customWidth="1"/>
    <col min="14" max="14" width="16.08984375" style="12" customWidth="1"/>
    <col min="15" max="15" width="18.453125" style="12" customWidth="1"/>
    <col min="16" max="16" width="17.90625" style="12" customWidth="1"/>
    <col min="17" max="17" width="16.08984375" style="12" customWidth="1"/>
    <col min="18" max="18" width="19.90625" style="12" customWidth="1"/>
    <col min="19" max="19" width="18.36328125" style="12" customWidth="1"/>
    <col min="20" max="20" width="16.08984375" style="12" customWidth="1"/>
    <col min="21" max="21" width="20" style="12" customWidth="1"/>
    <col min="22" max="22" width="18.36328125" style="12" customWidth="1"/>
    <col min="23" max="23" width="16.08984375" style="12" customWidth="1"/>
    <col min="24" max="16384" width="11.453125" style="12"/>
  </cols>
  <sheetData>
    <row r="1" spans="1:23" x14ac:dyDescent="0.45">
      <c r="A1" s="11" t="s">
        <v>67</v>
      </c>
      <c r="K1" s="34"/>
      <c r="L1" s="35"/>
      <c r="M1" s="36"/>
      <c r="N1" s="34"/>
      <c r="O1" s="35"/>
      <c r="P1" s="36"/>
      <c r="Q1" s="34"/>
      <c r="R1" s="35"/>
      <c r="S1" s="36"/>
    </row>
    <row r="2" spans="1:23" ht="65.400000000000006" customHeight="1" x14ac:dyDescent="0.45">
      <c r="B2" s="34" t="s">
        <v>71</v>
      </c>
      <c r="C2" s="35"/>
      <c r="D2" s="36"/>
      <c r="E2" s="40" t="s">
        <v>74</v>
      </c>
      <c r="F2" s="41"/>
      <c r="G2" s="42"/>
      <c r="H2" s="43" t="s">
        <v>74</v>
      </c>
      <c r="I2" s="43"/>
      <c r="J2" s="43"/>
      <c r="K2" s="37" t="s">
        <v>73</v>
      </c>
      <c r="L2" s="38"/>
      <c r="M2" s="39"/>
      <c r="N2" s="34" t="s">
        <v>72</v>
      </c>
      <c r="O2" s="35"/>
      <c r="P2" s="36"/>
      <c r="Q2" s="37" t="s">
        <v>71</v>
      </c>
      <c r="R2" s="38"/>
      <c r="S2" s="39"/>
      <c r="T2" s="34" t="s">
        <v>71</v>
      </c>
      <c r="U2" s="35"/>
      <c r="V2" s="36"/>
    </row>
    <row r="3" spans="1:23" s="33" customFormat="1" ht="50.25" customHeight="1" x14ac:dyDescent="0.4">
      <c r="A3" s="29" t="s">
        <v>64</v>
      </c>
      <c r="B3" s="30" t="s">
        <v>60</v>
      </c>
      <c r="C3" s="30" t="s">
        <v>68</v>
      </c>
      <c r="D3" s="30" t="s">
        <v>69</v>
      </c>
      <c r="E3" s="31" t="s">
        <v>61</v>
      </c>
      <c r="F3" s="31" t="s">
        <v>68</v>
      </c>
      <c r="G3" s="31" t="s">
        <v>69</v>
      </c>
      <c r="H3" s="32" t="s">
        <v>62</v>
      </c>
      <c r="I3" s="32" t="s">
        <v>68</v>
      </c>
      <c r="J3" s="32" t="s">
        <v>69</v>
      </c>
      <c r="K3" s="31" t="s">
        <v>59</v>
      </c>
      <c r="L3" s="31" t="s">
        <v>68</v>
      </c>
      <c r="M3" s="31" t="s">
        <v>69</v>
      </c>
      <c r="N3" s="30" t="s">
        <v>55</v>
      </c>
      <c r="O3" s="30" t="s">
        <v>68</v>
      </c>
      <c r="P3" s="30" t="s">
        <v>69</v>
      </c>
      <c r="Q3" s="31" t="s">
        <v>56</v>
      </c>
      <c r="R3" s="31" t="s">
        <v>68</v>
      </c>
      <c r="S3" s="31" t="s">
        <v>69</v>
      </c>
      <c r="T3" s="30" t="s">
        <v>57</v>
      </c>
      <c r="U3" s="30" t="s">
        <v>68</v>
      </c>
      <c r="V3" s="30" t="s">
        <v>69</v>
      </c>
      <c r="W3" s="31" t="s">
        <v>21</v>
      </c>
    </row>
    <row r="4" spans="1:23" ht="18" x14ac:dyDescent="0.5">
      <c r="A4" s="15" t="s">
        <v>63</v>
      </c>
      <c r="B4" s="27">
        <f>SUM(B5:B36)</f>
        <v>441361</v>
      </c>
      <c r="C4" s="27"/>
      <c r="D4" s="27"/>
      <c r="E4" s="16">
        <f t="shared" ref="E4:W4" si="0">SUM(E5:E36)</f>
        <v>95573</v>
      </c>
      <c r="F4" s="16"/>
      <c r="G4" s="16"/>
      <c r="H4" s="28">
        <f t="shared" si="0"/>
        <v>41978</v>
      </c>
      <c r="I4" s="28"/>
      <c r="J4" s="28"/>
      <c r="K4" s="26">
        <f t="shared" si="0"/>
        <v>1796546</v>
      </c>
      <c r="L4" s="16"/>
      <c r="M4" s="16"/>
      <c r="N4" s="27">
        <f t="shared" si="0"/>
        <v>1583139</v>
      </c>
      <c r="O4" s="27"/>
      <c r="P4" s="27"/>
      <c r="Q4" s="16">
        <f t="shared" si="0"/>
        <v>4556050</v>
      </c>
      <c r="R4" s="16"/>
      <c r="S4" s="16"/>
      <c r="T4" s="27">
        <f t="shared" si="0"/>
        <v>3197686</v>
      </c>
      <c r="U4" s="27"/>
      <c r="V4" s="27"/>
      <c r="W4" s="16">
        <f t="shared" si="0"/>
        <v>11712333</v>
      </c>
    </row>
    <row r="5" spans="1:23" x14ac:dyDescent="0.45">
      <c r="A5" s="18" t="s">
        <v>22</v>
      </c>
      <c r="B5" s="27">
        <v>4725</v>
      </c>
      <c r="C5" s="27"/>
      <c r="D5" s="27"/>
      <c r="E5" s="16">
        <v>1003</v>
      </c>
      <c r="F5" s="16"/>
      <c r="G5" s="16"/>
      <c r="H5" s="28">
        <v>31</v>
      </c>
      <c r="I5" s="28"/>
      <c r="J5" s="28"/>
      <c r="K5" s="26">
        <v>13185</v>
      </c>
      <c r="L5" s="16"/>
      <c r="M5" s="16"/>
      <c r="N5" s="27">
        <v>14875</v>
      </c>
      <c r="O5" s="27"/>
      <c r="P5" s="27"/>
      <c r="Q5" s="16">
        <v>33724</v>
      </c>
      <c r="R5" s="16"/>
      <c r="S5" s="16"/>
      <c r="T5" s="27">
        <v>25525</v>
      </c>
      <c r="U5" s="27"/>
      <c r="V5" s="27"/>
      <c r="W5" s="17">
        <f t="shared" ref="W5:W36" si="1">SUM(B5:T5)</f>
        <v>93068</v>
      </c>
    </row>
    <row r="6" spans="1:23" x14ac:dyDescent="0.45">
      <c r="A6" s="18" t="s">
        <v>23</v>
      </c>
      <c r="B6" s="27">
        <v>12141</v>
      </c>
      <c r="C6" s="27"/>
      <c r="D6" s="27"/>
      <c r="E6" s="16">
        <v>2695</v>
      </c>
      <c r="F6" s="16"/>
      <c r="G6" s="16"/>
      <c r="H6" s="28">
        <v>373</v>
      </c>
      <c r="I6" s="28"/>
      <c r="J6" s="28"/>
      <c r="K6" s="26">
        <v>36175</v>
      </c>
      <c r="L6" s="16"/>
      <c r="M6" s="16"/>
      <c r="N6" s="27">
        <v>58719</v>
      </c>
      <c r="O6" s="27"/>
      <c r="P6" s="27"/>
      <c r="Q6" s="16">
        <v>177280</v>
      </c>
      <c r="R6" s="16"/>
      <c r="S6" s="16"/>
      <c r="T6" s="27">
        <v>94154</v>
      </c>
      <c r="U6" s="27"/>
      <c r="V6" s="27"/>
      <c r="W6" s="17">
        <f t="shared" si="1"/>
        <v>381537</v>
      </c>
    </row>
    <row r="7" spans="1:23" x14ac:dyDescent="0.45">
      <c r="A7" s="18" t="s">
        <v>24</v>
      </c>
      <c r="B7" s="27">
        <v>2128</v>
      </c>
      <c r="C7" s="27"/>
      <c r="D7" s="27"/>
      <c r="E7" s="16">
        <v>664</v>
      </c>
      <c r="F7" s="16"/>
      <c r="G7" s="16"/>
      <c r="H7" s="28">
        <v>0</v>
      </c>
      <c r="I7" s="28"/>
      <c r="J7" s="28"/>
      <c r="K7" s="26">
        <v>9725</v>
      </c>
      <c r="L7" s="16"/>
      <c r="M7" s="16"/>
      <c r="N7" s="27">
        <v>9016</v>
      </c>
      <c r="O7" s="27"/>
      <c r="P7" s="27"/>
      <c r="Q7" s="16">
        <v>33355</v>
      </c>
      <c r="R7" s="16"/>
      <c r="S7" s="16"/>
      <c r="T7" s="27">
        <v>18793</v>
      </c>
      <c r="U7" s="27"/>
      <c r="V7" s="27"/>
      <c r="W7" s="17">
        <f t="shared" si="1"/>
        <v>73681</v>
      </c>
    </row>
    <row r="8" spans="1:23" ht="17.25" customHeight="1" x14ac:dyDescent="0.45">
      <c r="A8" s="18" t="s">
        <v>25</v>
      </c>
      <c r="B8" s="27">
        <v>894</v>
      </c>
      <c r="C8" s="27"/>
      <c r="D8" s="27"/>
      <c r="E8" s="16">
        <v>575</v>
      </c>
      <c r="F8" s="16"/>
      <c r="G8" s="16"/>
      <c r="H8" s="28">
        <v>382</v>
      </c>
      <c r="I8" s="28"/>
      <c r="J8" s="28"/>
      <c r="K8" s="26">
        <v>20253</v>
      </c>
      <c r="L8" s="16"/>
      <c r="M8" s="16"/>
      <c r="N8" s="27">
        <v>15547</v>
      </c>
      <c r="O8" s="27"/>
      <c r="P8" s="27"/>
      <c r="Q8" s="16">
        <v>24239</v>
      </c>
      <c r="R8" s="16"/>
      <c r="S8" s="16"/>
      <c r="T8" s="27">
        <v>24355</v>
      </c>
      <c r="U8" s="27"/>
      <c r="V8" s="27"/>
      <c r="W8" s="17">
        <f t="shared" si="1"/>
        <v>86245</v>
      </c>
    </row>
    <row r="9" spans="1:23" x14ac:dyDescent="0.45">
      <c r="A9" s="18" t="s">
        <v>26</v>
      </c>
      <c r="B9" s="27">
        <v>7093</v>
      </c>
      <c r="C9" s="27"/>
      <c r="D9" s="27"/>
      <c r="E9" s="16">
        <v>1673</v>
      </c>
      <c r="F9" s="16"/>
      <c r="G9" s="16"/>
      <c r="H9" s="28">
        <v>1340</v>
      </c>
      <c r="I9" s="28"/>
      <c r="J9" s="28"/>
      <c r="K9" s="26">
        <v>26200</v>
      </c>
      <c r="L9" s="16"/>
      <c r="M9" s="16"/>
      <c r="N9" s="27">
        <v>43967</v>
      </c>
      <c r="O9" s="27"/>
      <c r="P9" s="27"/>
      <c r="Q9" s="16">
        <v>77024</v>
      </c>
      <c r="R9" s="16"/>
      <c r="S9" s="16"/>
      <c r="T9" s="27">
        <v>44904</v>
      </c>
      <c r="U9" s="27"/>
      <c r="V9" s="27"/>
      <c r="W9" s="17">
        <f t="shared" si="1"/>
        <v>202201</v>
      </c>
    </row>
    <row r="10" spans="1:23" x14ac:dyDescent="0.45">
      <c r="A10" s="18" t="s">
        <v>27</v>
      </c>
      <c r="B10" s="27">
        <v>1831</v>
      </c>
      <c r="C10" s="27"/>
      <c r="D10" s="27"/>
      <c r="E10" s="16">
        <v>257</v>
      </c>
      <c r="F10" s="16"/>
      <c r="G10" s="16"/>
      <c r="H10" s="28">
        <v>221</v>
      </c>
      <c r="I10" s="28"/>
      <c r="J10" s="28"/>
      <c r="K10" s="26">
        <v>8640</v>
      </c>
      <c r="L10" s="16"/>
      <c r="M10" s="16"/>
      <c r="N10" s="27">
        <v>0</v>
      </c>
      <c r="O10" s="27"/>
      <c r="P10" s="27"/>
      <c r="Q10" s="16">
        <v>31299</v>
      </c>
      <c r="R10" s="16"/>
      <c r="S10" s="16"/>
      <c r="T10" s="27">
        <v>18188</v>
      </c>
      <c r="U10" s="27"/>
      <c r="V10" s="27"/>
      <c r="W10" s="17">
        <f t="shared" si="1"/>
        <v>60436</v>
      </c>
    </row>
    <row r="11" spans="1:23" x14ac:dyDescent="0.45">
      <c r="A11" s="18" t="s">
        <v>28</v>
      </c>
      <c r="B11" s="27">
        <v>36239</v>
      </c>
      <c r="C11" s="27"/>
      <c r="D11" s="27"/>
      <c r="E11" s="16">
        <v>6133</v>
      </c>
      <c r="F11" s="16"/>
      <c r="G11" s="16"/>
      <c r="H11" s="28">
        <v>0</v>
      </c>
      <c r="I11" s="28"/>
      <c r="J11" s="28"/>
      <c r="K11" s="26">
        <v>37777</v>
      </c>
      <c r="L11" s="16"/>
      <c r="M11" s="16"/>
      <c r="N11" s="27">
        <v>22546</v>
      </c>
      <c r="O11" s="27"/>
      <c r="P11" s="27"/>
      <c r="Q11" s="16">
        <v>146727</v>
      </c>
      <c r="R11" s="16"/>
      <c r="S11" s="16"/>
      <c r="T11" s="27">
        <v>135871</v>
      </c>
      <c r="U11" s="27"/>
      <c r="V11" s="27"/>
      <c r="W11" s="17">
        <f t="shared" si="1"/>
        <v>385293</v>
      </c>
    </row>
    <row r="12" spans="1:23" x14ac:dyDescent="0.45">
      <c r="A12" s="18" t="s">
        <v>29</v>
      </c>
      <c r="B12" s="27">
        <v>2436</v>
      </c>
      <c r="C12" s="27"/>
      <c r="D12" s="27"/>
      <c r="E12" s="16">
        <v>1809</v>
      </c>
      <c r="F12" s="16"/>
      <c r="G12" s="16"/>
      <c r="H12" s="28">
        <v>1523</v>
      </c>
      <c r="I12" s="28"/>
      <c r="J12" s="28"/>
      <c r="K12" s="26">
        <v>0</v>
      </c>
      <c r="L12" s="16"/>
      <c r="M12" s="16"/>
      <c r="N12" s="27">
        <v>50743</v>
      </c>
      <c r="O12" s="27"/>
      <c r="P12" s="27"/>
      <c r="Q12" s="16">
        <v>0</v>
      </c>
      <c r="R12" s="16"/>
      <c r="S12" s="16"/>
      <c r="T12" s="27">
        <v>84392</v>
      </c>
      <c r="U12" s="27"/>
      <c r="V12" s="27"/>
      <c r="W12" s="17">
        <f t="shared" si="1"/>
        <v>140903</v>
      </c>
    </row>
    <row r="13" spans="1:23" x14ac:dyDescent="0.45">
      <c r="A13" s="18" t="s">
        <v>30</v>
      </c>
      <c r="B13" s="27">
        <v>19172</v>
      </c>
      <c r="C13" s="27"/>
      <c r="D13" s="27"/>
      <c r="E13" s="16">
        <v>5123</v>
      </c>
      <c r="F13" s="16"/>
      <c r="G13" s="16"/>
      <c r="H13" s="28">
        <v>3562</v>
      </c>
      <c r="I13" s="28"/>
      <c r="J13" s="28"/>
      <c r="K13" s="26">
        <v>16709</v>
      </c>
      <c r="L13" s="16"/>
      <c r="M13" s="16"/>
      <c r="N13" s="27">
        <v>22025</v>
      </c>
      <c r="O13" s="27"/>
      <c r="P13" s="27"/>
      <c r="Q13" s="16">
        <v>47230</v>
      </c>
      <c r="R13" s="16"/>
      <c r="S13" s="16"/>
      <c r="T13" s="27">
        <v>134260</v>
      </c>
      <c r="U13" s="27"/>
      <c r="V13" s="27"/>
      <c r="W13" s="17">
        <f t="shared" si="1"/>
        <v>248081</v>
      </c>
    </row>
    <row r="14" spans="1:23" x14ac:dyDescent="0.45">
      <c r="A14" s="18" t="s">
        <v>31</v>
      </c>
      <c r="B14" s="27">
        <v>0</v>
      </c>
      <c r="C14" s="27"/>
      <c r="D14" s="27"/>
      <c r="E14" s="16">
        <v>671</v>
      </c>
      <c r="F14" s="16"/>
      <c r="G14" s="16"/>
      <c r="H14" s="28">
        <v>223</v>
      </c>
      <c r="I14" s="28"/>
      <c r="J14" s="28"/>
      <c r="K14" s="26">
        <v>24295</v>
      </c>
      <c r="L14" s="16"/>
      <c r="M14" s="16"/>
      <c r="N14" s="27">
        <v>22418</v>
      </c>
      <c r="O14" s="27"/>
      <c r="P14" s="27"/>
      <c r="Q14" s="16">
        <v>64953</v>
      </c>
      <c r="R14" s="16"/>
      <c r="S14" s="16"/>
      <c r="T14" s="27">
        <v>34415</v>
      </c>
      <c r="U14" s="27"/>
      <c r="V14" s="27"/>
      <c r="W14" s="17">
        <f t="shared" si="1"/>
        <v>146975</v>
      </c>
    </row>
    <row r="15" spans="1:23" x14ac:dyDescent="0.45">
      <c r="A15" s="18" t="s">
        <v>32</v>
      </c>
      <c r="B15" s="27">
        <v>32049</v>
      </c>
      <c r="C15" s="27"/>
      <c r="D15" s="27"/>
      <c r="E15" s="16">
        <v>8046</v>
      </c>
      <c r="F15" s="16"/>
      <c r="G15" s="16"/>
      <c r="H15" s="28">
        <v>0</v>
      </c>
      <c r="I15" s="28"/>
      <c r="J15" s="28"/>
      <c r="K15" s="26">
        <v>138204</v>
      </c>
      <c r="L15" s="16"/>
      <c r="M15" s="16"/>
      <c r="N15" s="27">
        <v>150050</v>
      </c>
      <c r="O15" s="27"/>
      <c r="P15" s="27"/>
      <c r="Q15" s="16">
        <v>395721</v>
      </c>
      <c r="R15" s="16"/>
      <c r="S15" s="16"/>
      <c r="T15" s="27">
        <v>220264</v>
      </c>
      <c r="U15" s="27"/>
      <c r="V15" s="27"/>
      <c r="W15" s="17">
        <f t="shared" si="1"/>
        <v>944334</v>
      </c>
    </row>
    <row r="16" spans="1:23" x14ac:dyDescent="0.45">
      <c r="A16" s="18" t="s">
        <v>33</v>
      </c>
      <c r="B16" s="27">
        <v>7800</v>
      </c>
      <c r="C16" s="27"/>
      <c r="D16" s="27"/>
      <c r="E16" s="16">
        <v>3540</v>
      </c>
      <c r="F16" s="16"/>
      <c r="G16" s="16"/>
      <c r="H16" s="28">
        <v>2674</v>
      </c>
      <c r="I16" s="28"/>
      <c r="J16" s="28"/>
      <c r="K16" s="26">
        <v>122508</v>
      </c>
      <c r="L16" s="16"/>
      <c r="M16" s="16"/>
      <c r="N16" s="27">
        <v>99936</v>
      </c>
      <c r="O16" s="27"/>
      <c r="P16" s="27"/>
      <c r="Q16" s="16">
        <v>253869</v>
      </c>
      <c r="R16" s="16"/>
      <c r="S16" s="16"/>
      <c r="T16" s="27">
        <v>117283</v>
      </c>
      <c r="U16" s="27"/>
      <c r="V16" s="27"/>
      <c r="W16" s="17">
        <f t="shared" si="1"/>
        <v>607610</v>
      </c>
    </row>
    <row r="17" spans="1:23" x14ac:dyDescent="0.45">
      <c r="A17" s="18" t="s">
        <v>34</v>
      </c>
      <c r="B17" s="27">
        <v>13328</v>
      </c>
      <c r="C17" s="27"/>
      <c r="D17" s="27"/>
      <c r="E17" s="16">
        <v>3145</v>
      </c>
      <c r="F17" s="16"/>
      <c r="G17" s="16"/>
      <c r="H17" s="28">
        <v>1430</v>
      </c>
      <c r="I17" s="28"/>
      <c r="J17" s="28"/>
      <c r="K17" s="26">
        <v>73121</v>
      </c>
      <c r="L17" s="16"/>
      <c r="M17" s="16"/>
      <c r="N17" s="27">
        <v>51534</v>
      </c>
      <c r="O17" s="27"/>
      <c r="P17" s="27"/>
      <c r="Q17" s="16">
        <v>177482</v>
      </c>
      <c r="R17" s="16"/>
      <c r="S17" s="16"/>
      <c r="T17" s="27">
        <v>97690</v>
      </c>
      <c r="U17" s="27"/>
      <c r="V17" s="27"/>
      <c r="W17" s="17">
        <f t="shared" si="1"/>
        <v>417730</v>
      </c>
    </row>
    <row r="18" spans="1:23" x14ac:dyDescent="0.45">
      <c r="A18" s="18" t="s">
        <v>35</v>
      </c>
      <c r="B18" s="27">
        <v>16999</v>
      </c>
      <c r="C18" s="27"/>
      <c r="D18" s="27"/>
      <c r="E18" s="16">
        <v>0</v>
      </c>
      <c r="F18" s="16"/>
      <c r="G18" s="16"/>
      <c r="H18" s="28">
        <v>0</v>
      </c>
      <c r="I18" s="28"/>
      <c r="J18" s="28"/>
      <c r="K18" s="26">
        <v>19035</v>
      </c>
      <c r="L18" s="16"/>
      <c r="M18" s="16"/>
      <c r="N18" s="27">
        <v>0</v>
      </c>
      <c r="O18" s="27"/>
      <c r="P18" s="27"/>
      <c r="Q18" s="16">
        <v>0</v>
      </c>
      <c r="R18" s="16"/>
      <c r="S18" s="16"/>
      <c r="T18" s="27">
        <v>58440</v>
      </c>
      <c r="U18" s="27"/>
      <c r="V18" s="27"/>
      <c r="W18" s="17">
        <f t="shared" si="1"/>
        <v>94474</v>
      </c>
    </row>
    <row r="19" spans="1:23" x14ac:dyDescent="0.45">
      <c r="A19" s="18" t="s">
        <v>36</v>
      </c>
      <c r="B19" s="27">
        <v>68266</v>
      </c>
      <c r="C19" s="27"/>
      <c r="D19" s="27"/>
      <c r="E19" s="16">
        <v>19947</v>
      </c>
      <c r="F19" s="16"/>
      <c r="G19" s="16"/>
      <c r="H19" s="28">
        <v>11936</v>
      </c>
      <c r="I19" s="28"/>
      <c r="J19" s="28"/>
      <c r="K19" s="26">
        <v>319022</v>
      </c>
      <c r="L19" s="16"/>
      <c r="M19" s="16"/>
      <c r="N19" s="27">
        <v>204725</v>
      </c>
      <c r="O19" s="27"/>
      <c r="P19" s="27"/>
      <c r="Q19" s="16">
        <v>679361</v>
      </c>
      <c r="R19" s="16"/>
      <c r="S19" s="16"/>
      <c r="T19" s="27">
        <v>577327</v>
      </c>
      <c r="U19" s="27"/>
      <c r="V19" s="27"/>
      <c r="W19" s="17">
        <f t="shared" si="1"/>
        <v>1880584</v>
      </c>
    </row>
    <row r="20" spans="1:23" x14ac:dyDescent="0.45">
      <c r="A20" s="18" t="s">
        <v>37</v>
      </c>
      <c r="B20" s="27">
        <v>21493</v>
      </c>
      <c r="C20" s="27"/>
      <c r="D20" s="27"/>
      <c r="E20" s="16">
        <v>3580</v>
      </c>
      <c r="F20" s="16"/>
      <c r="G20" s="16"/>
      <c r="H20" s="28">
        <v>2100</v>
      </c>
      <c r="I20" s="28"/>
      <c r="J20" s="28"/>
      <c r="K20" s="26">
        <v>95795</v>
      </c>
      <c r="L20" s="16"/>
      <c r="M20" s="16"/>
      <c r="N20" s="27">
        <v>59663</v>
      </c>
      <c r="O20" s="27"/>
      <c r="P20" s="27"/>
      <c r="Q20" s="16">
        <v>185792</v>
      </c>
      <c r="R20" s="16"/>
      <c r="S20" s="16"/>
      <c r="T20" s="27">
        <v>115773</v>
      </c>
      <c r="U20" s="27"/>
      <c r="V20" s="27"/>
      <c r="W20" s="17">
        <f t="shared" si="1"/>
        <v>484196</v>
      </c>
    </row>
    <row r="21" spans="1:23" x14ac:dyDescent="0.45">
      <c r="A21" s="18" t="s">
        <v>38</v>
      </c>
      <c r="B21" s="27">
        <v>7962</v>
      </c>
      <c r="C21" s="27"/>
      <c r="D21" s="27"/>
      <c r="E21" s="16">
        <v>1856</v>
      </c>
      <c r="F21" s="16"/>
      <c r="G21" s="16"/>
      <c r="H21" s="28">
        <v>807</v>
      </c>
      <c r="I21" s="28"/>
      <c r="J21" s="28"/>
      <c r="K21" s="26">
        <v>40722</v>
      </c>
      <c r="L21" s="16"/>
      <c r="M21" s="16"/>
      <c r="N21" s="27">
        <v>34495</v>
      </c>
      <c r="O21" s="27"/>
      <c r="P21" s="27"/>
      <c r="Q21" s="16">
        <v>125214</v>
      </c>
      <c r="R21" s="16"/>
      <c r="S21" s="16"/>
      <c r="T21" s="27">
        <v>56565</v>
      </c>
      <c r="U21" s="27"/>
      <c r="V21" s="27"/>
      <c r="W21" s="17">
        <f t="shared" si="1"/>
        <v>267621</v>
      </c>
    </row>
    <row r="22" spans="1:23" x14ac:dyDescent="0.45">
      <c r="A22" s="18" t="s">
        <v>39</v>
      </c>
      <c r="B22" s="27">
        <v>4033</v>
      </c>
      <c r="C22" s="27"/>
      <c r="D22" s="27"/>
      <c r="E22" s="16">
        <v>1146</v>
      </c>
      <c r="F22" s="16"/>
      <c r="G22" s="16"/>
      <c r="H22" s="28">
        <v>0</v>
      </c>
      <c r="I22" s="28"/>
      <c r="J22" s="28"/>
      <c r="K22" s="26">
        <v>19082</v>
      </c>
      <c r="L22" s="16"/>
      <c r="M22" s="16"/>
      <c r="N22" s="27">
        <v>14295</v>
      </c>
      <c r="O22" s="27"/>
      <c r="P22" s="27"/>
      <c r="Q22" s="16">
        <v>49374</v>
      </c>
      <c r="R22" s="16"/>
      <c r="S22" s="16"/>
      <c r="T22" s="27">
        <v>29564</v>
      </c>
      <c r="U22" s="27"/>
      <c r="V22" s="27"/>
      <c r="W22" s="17">
        <f t="shared" si="1"/>
        <v>117494</v>
      </c>
    </row>
    <row r="23" spans="1:23" x14ac:dyDescent="0.45">
      <c r="A23" s="18" t="s">
        <v>40</v>
      </c>
      <c r="B23" s="27">
        <v>23243</v>
      </c>
      <c r="C23" s="27"/>
      <c r="D23" s="27"/>
      <c r="E23" s="16">
        <v>4130</v>
      </c>
      <c r="F23" s="16"/>
      <c r="G23" s="16"/>
      <c r="H23" s="28">
        <v>0</v>
      </c>
      <c r="I23" s="28"/>
      <c r="J23" s="28"/>
      <c r="K23" s="26">
        <v>68352</v>
      </c>
      <c r="L23" s="16"/>
      <c r="M23" s="16"/>
      <c r="N23" s="27">
        <v>56779</v>
      </c>
      <c r="O23" s="27"/>
      <c r="P23" s="27"/>
      <c r="Q23" s="16">
        <v>112266</v>
      </c>
      <c r="R23" s="16"/>
      <c r="S23" s="16"/>
      <c r="T23" s="27">
        <v>97005</v>
      </c>
      <c r="U23" s="27"/>
      <c r="V23" s="27"/>
      <c r="W23" s="17">
        <f t="shared" si="1"/>
        <v>361775</v>
      </c>
    </row>
    <row r="24" spans="1:23" x14ac:dyDescent="0.45">
      <c r="A24" s="18" t="s">
        <v>41</v>
      </c>
      <c r="B24" s="27">
        <v>21624</v>
      </c>
      <c r="C24" s="27"/>
      <c r="D24" s="27"/>
      <c r="E24" s="16">
        <v>5789</v>
      </c>
      <c r="F24" s="16"/>
      <c r="G24" s="16"/>
      <c r="H24" s="28">
        <v>5476</v>
      </c>
      <c r="I24" s="28"/>
      <c r="J24" s="28"/>
      <c r="K24" s="26">
        <v>91106</v>
      </c>
      <c r="L24" s="16"/>
      <c r="M24" s="16"/>
      <c r="N24" s="27">
        <v>74872</v>
      </c>
      <c r="O24" s="27"/>
      <c r="P24" s="27"/>
      <c r="Q24" s="16">
        <v>241233</v>
      </c>
      <c r="R24" s="16"/>
      <c r="S24" s="16"/>
      <c r="T24" s="27">
        <v>125768</v>
      </c>
      <c r="U24" s="27"/>
      <c r="V24" s="27"/>
      <c r="W24" s="17">
        <f t="shared" si="1"/>
        <v>565868</v>
      </c>
    </row>
    <row r="25" spans="1:23" x14ac:dyDescent="0.45">
      <c r="A25" s="18" t="s">
        <v>42</v>
      </c>
      <c r="B25" s="27">
        <v>35970</v>
      </c>
      <c r="C25" s="27"/>
      <c r="D25" s="27"/>
      <c r="E25" s="16">
        <v>3525</v>
      </c>
      <c r="F25" s="16"/>
      <c r="G25" s="16"/>
      <c r="H25" s="28">
        <v>255</v>
      </c>
      <c r="I25" s="28"/>
      <c r="J25" s="28"/>
      <c r="K25" s="26">
        <v>88577</v>
      </c>
      <c r="L25" s="16"/>
      <c r="M25" s="16"/>
      <c r="N25" s="27">
        <v>98535</v>
      </c>
      <c r="O25" s="27"/>
      <c r="P25" s="27"/>
      <c r="Q25" s="16">
        <v>336805</v>
      </c>
      <c r="R25" s="16"/>
      <c r="S25" s="16"/>
      <c r="T25" s="27">
        <v>206478</v>
      </c>
      <c r="U25" s="27"/>
      <c r="V25" s="27"/>
      <c r="W25" s="17">
        <f t="shared" si="1"/>
        <v>770145</v>
      </c>
    </row>
    <row r="26" spans="1:23" x14ac:dyDescent="0.45">
      <c r="A26" s="18" t="s">
        <v>43</v>
      </c>
      <c r="B26" s="27">
        <v>10195</v>
      </c>
      <c r="C26" s="27"/>
      <c r="D26" s="27"/>
      <c r="E26" s="16">
        <v>2571</v>
      </c>
      <c r="F26" s="16"/>
      <c r="G26" s="16"/>
      <c r="H26" s="28">
        <v>1110</v>
      </c>
      <c r="I26" s="28"/>
      <c r="J26" s="28"/>
      <c r="K26" s="26">
        <v>43734</v>
      </c>
      <c r="L26" s="16"/>
      <c r="M26" s="16"/>
      <c r="N26" s="27">
        <v>45038</v>
      </c>
      <c r="O26" s="27"/>
      <c r="P26" s="27"/>
      <c r="Q26" s="16">
        <v>130313</v>
      </c>
      <c r="R26" s="16"/>
      <c r="S26" s="16"/>
      <c r="T26" s="27">
        <v>76541</v>
      </c>
      <c r="U26" s="27"/>
      <c r="V26" s="27"/>
      <c r="W26" s="17">
        <f t="shared" si="1"/>
        <v>309502</v>
      </c>
    </row>
    <row r="27" spans="1:23" x14ac:dyDescent="0.45">
      <c r="A27" s="18" t="s">
        <v>44</v>
      </c>
      <c r="B27" s="27">
        <v>7244</v>
      </c>
      <c r="C27" s="27"/>
      <c r="D27" s="27"/>
      <c r="E27" s="16">
        <v>2200</v>
      </c>
      <c r="F27" s="16"/>
      <c r="G27" s="16"/>
      <c r="H27" s="28">
        <v>837</v>
      </c>
      <c r="I27" s="28"/>
      <c r="J27" s="28"/>
      <c r="K27" s="26">
        <v>36306</v>
      </c>
      <c r="L27" s="16"/>
      <c r="M27" s="16"/>
      <c r="N27" s="27">
        <v>34971</v>
      </c>
      <c r="O27" s="27"/>
      <c r="P27" s="27"/>
      <c r="Q27" s="16">
        <v>96089</v>
      </c>
      <c r="R27" s="16"/>
      <c r="S27" s="16"/>
      <c r="T27" s="27">
        <v>60119</v>
      </c>
      <c r="U27" s="27"/>
      <c r="V27" s="27"/>
      <c r="W27" s="17">
        <f t="shared" si="1"/>
        <v>237766</v>
      </c>
    </row>
    <row r="28" spans="1:23" x14ac:dyDescent="0.45">
      <c r="A28" s="18" t="s">
        <v>45</v>
      </c>
      <c r="B28" s="27">
        <v>14043</v>
      </c>
      <c r="C28" s="27"/>
      <c r="D28" s="27"/>
      <c r="E28" s="16">
        <v>3058</v>
      </c>
      <c r="F28" s="16"/>
      <c r="G28" s="16"/>
      <c r="H28" s="28">
        <v>1780</v>
      </c>
      <c r="I28" s="28"/>
      <c r="J28" s="28"/>
      <c r="K28" s="26">
        <v>50405</v>
      </c>
      <c r="L28" s="16"/>
      <c r="M28" s="16"/>
      <c r="N28" s="27">
        <v>42887</v>
      </c>
      <c r="O28" s="27"/>
      <c r="P28" s="27"/>
      <c r="Q28" s="16">
        <v>115675</v>
      </c>
      <c r="R28" s="16"/>
      <c r="S28" s="16"/>
      <c r="T28" s="27">
        <v>70668</v>
      </c>
      <c r="U28" s="27"/>
      <c r="V28" s="27"/>
      <c r="W28" s="17">
        <f t="shared" si="1"/>
        <v>298516</v>
      </c>
    </row>
    <row r="29" spans="1:23" x14ac:dyDescent="0.45">
      <c r="A29" s="18" t="s">
        <v>46</v>
      </c>
      <c r="B29" s="27">
        <v>7719</v>
      </c>
      <c r="C29" s="27"/>
      <c r="D29" s="27"/>
      <c r="E29" s="16">
        <v>1564</v>
      </c>
      <c r="F29" s="16"/>
      <c r="G29" s="16"/>
      <c r="H29" s="28">
        <v>0</v>
      </c>
      <c r="I29" s="28"/>
      <c r="J29" s="28"/>
      <c r="K29" s="26">
        <v>33235</v>
      </c>
      <c r="L29" s="16"/>
      <c r="M29" s="16"/>
      <c r="N29" s="27">
        <v>28395</v>
      </c>
      <c r="O29" s="27"/>
      <c r="P29" s="27"/>
      <c r="Q29" s="16">
        <v>106296</v>
      </c>
      <c r="R29" s="16"/>
      <c r="S29" s="16"/>
      <c r="T29" s="27">
        <v>67351</v>
      </c>
      <c r="U29" s="27"/>
      <c r="V29" s="27"/>
      <c r="W29" s="17">
        <f t="shared" si="1"/>
        <v>244560</v>
      </c>
    </row>
    <row r="30" spans="1:23" x14ac:dyDescent="0.45">
      <c r="A30" s="18" t="s">
        <v>47</v>
      </c>
      <c r="B30" s="27">
        <v>6993</v>
      </c>
      <c r="C30" s="27"/>
      <c r="D30" s="27"/>
      <c r="E30" s="16">
        <v>2035</v>
      </c>
      <c r="F30" s="16"/>
      <c r="G30" s="16"/>
      <c r="H30" s="28">
        <v>1083</v>
      </c>
      <c r="I30" s="28"/>
      <c r="J30" s="28"/>
      <c r="K30" s="26">
        <v>26418</v>
      </c>
      <c r="L30" s="16"/>
      <c r="M30" s="16"/>
      <c r="N30" s="27">
        <v>43486</v>
      </c>
      <c r="O30" s="27"/>
      <c r="P30" s="27"/>
      <c r="Q30" s="16">
        <v>93236</v>
      </c>
      <c r="R30" s="16"/>
      <c r="S30" s="16"/>
      <c r="T30" s="27">
        <v>71591</v>
      </c>
      <c r="U30" s="27"/>
      <c r="V30" s="27"/>
      <c r="W30" s="17">
        <f t="shared" si="1"/>
        <v>244842</v>
      </c>
    </row>
    <row r="31" spans="1:23" x14ac:dyDescent="0.45">
      <c r="A31" s="18" t="s">
        <v>48</v>
      </c>
      <c r="B31" s="27">
        <v>9454</v>
      </c>
      <c r="C31" s="27"/>
      <c r="D31" s="27"/>
      <c r="E31" s="16">
        <v>0</v>
      </c>
      <c r="F31" s="16"/>
      <c r="G31" s="16"/>
      <c r="H31" s="28">
        <v>44</v>
      </c>
      <c r="I31" s="28"/>
      <c r="J31" s="28"/>
      <c r="K31" s="26">
        <v>57696</v>
      </c>
      <c r="L31" s="16"/>
      <c r="M31" s="16"/>
      <c r="N31" s="27">
        <v>25794</v>
      </c>
      <c r="O31" s="27"/>
      <c r="P31" s="27"/>
      <c r="Q31" s="16">
        <v>148284</v>
      </c>
      <c r="R31" s="16"/>
      <c r="S31" s="16"/>
      <c r="T31" s="27">
        <v>85754</v>
      </c>
      <c r="U31" s="27"/>
      <c r="V31" s="27"/>
      <c r="W31" s="17">
        <f t="shared" si="1"/>
        <v>327026</v>
      </c>
    </row>
    <row r="32" spans="1:23" x14ac:dyDescent="0.45">
      <c r="A32" s="18" t="s">
        <v>49</v>
      </c>
      <c r="B32" s="27">
        <v>9631</v>
      </c>
      <c r="C32" s="27"/>
      <c r="D32" s="27"/>
      <c r="E32" s="16">
        <v>2336</v>
      </c>
      <c r="F32" s="16"/>
      <c r="G32" s="16"/>
      <c r="H32" s="28">
        <v>1317</v>
      </c>
      <c r="I32" s="28"/>
      <c r="J32" s="28"/>
      <c r="K32" s="26">
        <v>43370</v>
      </c>
      <c r="L32" s="16"/>
      <c r="M32" s="16"/>
      <c r="N32" s="27">
        <v>52079</v>
      </c>
      <c r="O32" s="27"/>
      <c r="P32" s="27"/>
      <c r="Q32" s="16">
        <v>156836</v>
      </c>
      <c r="R32" s="16"/>
      <c r="S32" s="16"/>
      <c r="T32" s="27">
        <v>87929</v>
      </c>
      <c r="U32" s="27"/>
      <c r="V32" s="27"/>
      <c r="W32" s="17">
        <f t="shared" si="1"/>
        <v>353498</v>
      </c>
    </row>
    <row r="33" spans="1:23" x14ac:dyDescent="0.45">
      <c r="A33" s="18" t="s">
        <v>50</v>
      </c>
      <c r="B33" s="27">
        <v>5631</v>
      </c>
      <c r="C33" s="27"/>
      <c r="D33" s="27"/>
      <c r="E33" s="16">
        <v>195</v>
      </c>
      <c r="F33" s="16"/>
      <c r="G33" s="16"/>
      <c r="H33" s="28">
        <v>306</v>
      </c>
      <c r="I33" s="28"/>
      <c r="J33" s="28"/>
      <c r="K33" s="26">
        <v>35313</v>
      </c>
      <c r="L33" s="16"/>
      <c r="M33" s="16"/>
      <c r="N33" s="27">
        <v>24136</v>
      </c>
      <c r="O33" s="27"/>
      <c r="P33" s="27"/>
      <c r="Q33" s="16">
        <v>41084</v>
      </c>
      <c r="R33" s="16"/>
      <c r="S33" s="16"/>
      <c r="T33" s="27">
        <v>35214</v>
      </c>
      <c r="U33" s="27"/>
      <c r="V33" s="27"/>
      <c r="W33" s="17">
        <f t="shared" si="1"/>
        <v>141879</v>
      </c>
    </row>
    <row r="34" spans="1:23" x14ac:dyDescent="0.45">
      <c r="A34" s="18" t="s">
        <v>51</v>
      </c>
      <c r="B34" s="27">
        <v>23085</v>
      </c>
      <c r="C34" s="27"/>
      <c r="D34" s="27"/>
      <c r="E34" s="16">
        <v>3453</v>
      </c>
      <c r="F34" s="16"/>
      <c r="G34" s="16"/>
      <c r="H34" s="28">
        <v>1071</v>
      </c>
      <c r="I34" s="28"/>
      <c r="J34" s="28"/>
      <c r="K34" s="26">
        <v>140369</v>
      </c>
      <c r="L34" s="16"/>
      <c r="M34" s="16"/>
      <c r="N34" s="27">
        <v>120289</v>
      </c>
      <c r="O34" s="27"/>
      <c r="P34" s="27"/>
      <c r="Q34" s="16">
        <v>328854</v>
      </c>
      <c r="R34" s="16"/>
      <c r="S34" s="16"/>
      <c r="T34" s="27">
        <v>228396</v>
      </c>
      <c r="U34" s="27"/>
      <c r="V34" s="27"/>
      <c r="W34" s="17">
        <f t="shared" si="1"/>
        <v>845517</v>
      </c>
    </row>
    <row r="35" spans="1:23" x14ac:dyDescent="0.45">
      <c r="A35" s="18" t="s">
        <v>52</v>
      </c>
      <c r="B35" s="27">
        <v>258</v>
      </c>
      <c r="C35" s="27"/>
      <c r="D35" s="27"/>
      <c r="E35" s="16">
        <v>1044</v>
      </c>
      <c r="F35" s="16"/>
      <c r="G35" s="16"/>
      <c r="H35" s="28">
        <v>841</v>
      </c>
      <c r="I35" s="28"/>
      <c r="J35" s="28"/>
      <c r="K35" s="26">
        <v>29513</v>
      </c>
      <c r="L35" s="16"/>
      <c r="M35" s="16"/>
      <c r="N35" s="27">
        <v>36561</v>
      </c>
      <c r="O35" s="27"/>
      <c r="P35" s="27"/>
      <c r="Q35" s="16">
        <v>108481</v>
      </c>
      <c r="R35" s="16"/>
      <c r="S35" s="16"/>
      <c r="T35" s="27">
        <v>58742</v>
      </c>
      <c r="U35" s="27"/>
      <c r="V35" s="27"/>
      <c r="W35" s="17">
        <f t="shared" si="1"/>
        <v>235440</v>
      </c>
    </row>
    <row r="36" spans="1:23" x14ac:dyDescent="0.45">
      <c r="A36" s="18" t="s">
        <v>53</v>
      </c>
      <c r="B36" s="27">
        <v>7682</v>
      </c>
      <c r="C36" s="27"/>
      <c r="D36" s="27"/>
      <c r="E36" s="16">
        <v>1810</v>
      </c>
      <c r="F36" s="16"/>
      <c r="G36" s="16"/>
      <c r="H36" s="28">
        <v>1256</v>
      </c>
      <c r="I36" s="28"/>
      <c r="J36" s="28"/>
      <c r="K36" s="26">
        <v>31704</v>
      </c>
      <c r="L36" s="16"/>
      <c r="M36" s="16"/>
      <c r="N36" s="27">
        <v>24763</v>
      </c>
      <c r="O36" s="27"/>
      <c r="P36" s="27"/>
      <c r="Q36" s="16">
        <v>37954</v>
      </c>
      <c r="R36" s="16"/>
      <c r="S36" s="16"/>
      <c r="T36" s="27">
        <v>38367</v>
      </c>
      <c r="U36" s="27"/>
      <c r="V36" s="27"/>
      <c r="W36" s="17">
        <f t="shared" si="1"/>
        <v>143536</v>
      </c>
    </row>
  </sheetData>
  <mergeCells count="10">
    <mergeCell ref="B2:D2"/>
    <mergeCell ref="E2:G2"/>
    <mergeCell ref="H2:J2"/>
    <mergeCell ref="K2:M2"/>
    <mergeCell ref="N2:P2"/>
    <mergeCell ref="K1:M1"/>
    <mergeCell ref="N1:P1"/>
    <mergeCell ref="Q1:S1"/>
    <mergeCell ref="Q2:S2"/>
    <mergeCell ref="T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PoblaciónTotal 2026</vt:lpstr>
      <vt:lpstr>Pob META</vt:lpstr>
      <vt:lpstr>Dosis aplicadas</vt:lpstr>
      <vt:lpstr>Susceptibles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Alicia Esparza</cp:lastModifiedBy>
  <dcterms:created xsi:type="dcterms:W3CDTF">2026-02-16T22:54:37Z</dcterms:created>
  <dcterms:modified xsi:type="dcterms:W3CDTF">2026-02-23T00:07:35Z</dcterms:modified>
</cp:coreProperties>
</file>