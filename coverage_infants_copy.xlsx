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5b59e52a21d66fc/Escritorio/PVU/SARAMPIÓN/COBERTURA POR MUNICIPIO Y SEMANA EPIDEMIOLÒGICA/"/>
    </mc:Choice>
  </mc:AlternateContent>
  <xr:revisionPtr revIDLastSave="0" documentId="8_{868A48D1-B0BB-4F52-95C8-FEF72F6E660E}" xr6:coauthVersionLast="47" xr6:coauthVersionMax="47" xr10:uidLastSave="{00000000-0000-0000-0000-000000000000}"/>
  <bookViews>
    <workbookView xWindow="-110" yWindow="-110" windowWidth="19420" windowHeight="12220" firstSheet="20" activeTab="31" xr2:uid="{00000000-000D-0000-FFFF-FFFF00000000}"/>
  </bookViews>
  <sheets>
    <sheet name="SE 20" sheetId="1" r:id="rId1"/>
    <sheet name="SE 21" sheetId="2" r:id="rId2"/>
    <sheet name="SE 22" sheetId="3" r:id="rId3"/>
    <sheet name="SE 23" sheetId="4" r:id="rId4"/>
    <sheet name="SE 24" sheetId="5" r:id="rId5"/>
    <sheet name="SE 25" sheetId="6" r:id="rId6"/>
    <sheet name="SE 26" sheetId="7" r:id="rId7"/>
    <sheet name="SE 27" sheetId="8" r:id="rId8"/>
    <sheet name="SE 28" sheetId="10" r:id="rId9"/>
    <sheet name="SE 29" sheetId="9" r:id="rId10"/>
    <sheet name="SE 30" sheetId="11" r:id="rId11"/>
    <sheet name="SE 31" sheetId="12" r:id="rId12"/>
    <sheet name="SE 32" sheetId="13" r:id="rId13"/>
    <sheet name="SE 33" sheetId="14" r:id="rId14"/>
    <sheet name="SE 34" sheetId="15" r:id="rId15"/>
    <sheet name="SE 35" sheetId="17" r:id="rId16"/>
    <sheet name="SE 36" sheetId="18" r:id="rId17"/>
    <sheet name="SE 37" sheetId="19" r:id="rId18"/>
    <sheet name="SE 38" sheetId="20" r:id="rId19"/>
    <sheet name="SE 39" sheetId="21" r:id="rId20"/>
    <sheet name="SE 40" sheetId="22" r:id="rId21"/>
    <sheet name="SE 41" sheetId="23" r:id="rId22"/>
    <sheet name="SE 42" sheetId="24" r:id="rId23"/>
    <sheet name="SE 43" sheetId="25" r:id="rId24"/>
    <sheet name="SE 44" sheetId="26" r:id="rId25"/>
    <sheet name="SE 45" sheetId="27" r:id="rId26"/>
    <sheet name="SE 46" sheetId="28" r:id="rId27"/>
    <sheet name="SE 47" sheetId="29" r:id="rId28"/>
    <sheet name="SE 48" sheetId="30" r:id="rId29"/>
    <sheet name="SE 49" sheetId="31" r:id="rId30"/>
    <sheet name="SE 50" sheetId="32" r:id="rId31"/>
    <sheet name="SE 51" sheetId="33" r:id="rId32"/>
    <sheet name="SE 52" sheetId="34" r:id="rId33"/>
    <sheet name="SE 53" sheetId="35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5" i="35" l="1"/>
  <c r="G45" i="35"/>
  <c r="D45" i="35"/>
  <c r="J44" i="35"/>
  <c r="G44" i="35"/>
  <c r="D44" i="35"/>
  <c r="J43" i="35"/>
  <c r="G43" i="35"/>
  <c r="D43" i="35"/>
  <c r="J42" i="35"/>
  <c r="G42" i="35"/>
  <c r="D42" i="35"/>
  <c r="J41" i="35"/>
  <c r="G41" i="35"/>
  <c r="D41" i="35"/>
  <c r="J40" i="35"/>
  <c r="G40" i="35"/>
  <c r="D40" i="35"/>
  <c r="J39" i="35"/>
  <c r="G39" i="35"/>
  <c r="D39" i="35"/>
  <c r="J38" i="35"/>
  <c r="G38" i="35"/>
  <c r="D38" i="35"/>
  <c r="J37" i="35"/>
  <c r="G37" i="35"/>
  <c r="D37" i="35"/>
  <c r="J36" i="35"/>
  <c r="G36" i="35"/>
  <c r="D36" i="35"/>
  <c r="J35" i="35"/>
  <c r="G35" i="35"/>
  <c r="D35" i="35"/>
  <c r="J34" i="35"/>
  <c r="G34" i="35"/>
  <c r="D34" i="35"/>
  <c r="J33" i="35"/>
  <c r="G33" i="35"/>
  <c r="D33" i="35"/>
  <c r="J32" i="35"/>
  <c r="G32" i="35"/>
  <c r="D32" i="35"/>
  <c r="J31" i="35"/>
  <c r="G31" i="35"/>
  <c r="D31" i="35"/>
  <c r="J30" i="35"/>
  <c r="G30" i="35"/>
  <c r="D30" i="35"/>
  <c r="J29" i="35"/>
  <c r="G29" i="35"/>
  <c r="D29" i="35"/>
  <c r="J28" i="35"/>
  <c r="G28" i="35"/>
  <c r="D28" i="35"/>
  <c r="J27" i="35"/>
  <c r="G27" i="35"/>
  <c r="D27" i="35"/>
  <c r="J26" i="35"/>
  <c r="G26" i="35"/>
  <c r="D26" i="35"/>
  <c r="J25" i="35"/>
  <c r="G25" i="35"/>
  <c r="D25" i="35"/>
  <c r="J24" i="35"/>
  <c r="G24" i="35"/>
  <c r="D24" i="35"/>
  <c r="J23" i="35"/>
  <c r="G23" i="35"/>
  <c r="D23" i="35"/>
  <c r="J22" i="35"/>
  <c r="G22" i="35"/>
  <c r="D22" i="35"/>
  <c r="J21" i="35"/>
  <c r="G21" i="35"/>
  <c r="D21" i="35"/>
  <c r="J20" i="35"/>
  <c r="G20" i="35"/>
  <c r="D20" i="35"/>
  <c r="J19" i="35"/>
  <c r="G19" i="35"/>
  <c r="D19" i="35"/>
  <c r="J18" i="35"/>
  <c r="G18" i="35"/>
  <c r="D18" i="35"/>
  <c r="J17" i="35"/>
  <c r="G17" i="35"/>
  <c r="D17" i="35"/>
  <c r="J16" i="35"/>
  <c r="G16" i="35"/>
  <c r="D16" i="35"/>
  <c r="J15" i="35"/>
  <c r="G15" i="35"/>
  <c r="D15" i="35"/>
  <c r="J14" i="35"/>
  <c r="G14" i="35"/>
  <c r="D14" i="35"/>
  <c r="J13" i="35"/>
  <c r="G13" i="35"/>
  <c r="D13" i="35"/>
  <c r="J12" i="35"/>
  <c r="G12" i="35"/>
  <c r="D12" i="35"/>
  <c r="J11" i="35"/>
  <c r="G11" i="35"/>
  <c r="D11" i="35"/>
  <c r="J10" i="35"/>
  <c r="G10" i="35"/>
  <c r="D10" i="35"/>
  <c r="J9" i="35"/>
  <c r="G9" i="35"/>
  <c r="D9" i="35"/>
  <c r="J8" i="35"/>
  <c r="G8" i="35"/>
  <c r="D8" i="35"/>
  <c r="J7" i="35"/>
  <c r="G7" i="35"/>
  <c r="D7" i="35"/>
  <c r="J45" i="34" l="1"/>
  <c r="G45" i="34"/>
  <c r="D45" i="34"/>
  <c r="J44" i="34"/>
  <c r="G44" i="34"/>
  <c r="D44" i="34"/>
  <c r="J43" i="34"/>
  <c r="G43" i="34"/>
  <c r="D43" i="34"/>
  <c r="J42" i="34"/>
  <c r="G42" i="34"/>
  <c r="D42" i="34"/>
  <c r="J41" i="34"/>
  <c r="G41" i="34"/>
  <c r="D41" i="34"/>
  <c r="J40" i="34"/>
  <c r="G40" i="34"/>
  <c r="D40" i="34"/>
  <c r="J39" i="34"/>
  <c r="G39" i="34"/>
  <c r="D39" i="34"/>
  <c r="J38" i="34"/>
  <c r="G38" i="34"/>
  <c r="D38" i="34"/>
  <c r="J37" i="34"/>
  <c r="G37" i="34"/>
  <c r="D37" i="34"/>
  <c r="J36" i="34"/>
  <c r="G36" i="34"/>
  <c r="D36" i="34"/>
  <c r="J35" i="34"/>
  <c r="G35" i="34"/>
  <c r="D35" i="34"/>
  <c r="J34" i="34"/>
  <c r="G34" i="34"/>
  <c r="D34" i="34"/>
  <c r="J33" i="34"/>
  <c r="G33" i="34"/>
  <c r="D33" i="34"/>
  <c r="J32" i="34"/>
  <c r="G32" i="34"/>
  <c r="D32" i="34"/>
  <c r="J31" i="34"/>
  <c r="G31" i="34"/>
  <c r="D31" i="34"/>
  <c r="J30" i="34"/>
  <c r="G30" i="34"/>
  <c r="D30" i="34"/>
  <c r="J29" i="34"/>
  <c r="G29" i="34"/>
  <c r="D29" i="34"/>
  <c r="J28" i="34"/>
  <c r="G28" i="34"/>
  <c r="D28" i="34"/>
  <c r="J27" i="34"/>
  <c r="G27" i="34"/>
  <c r="D27" i="34"/>
  <c r="J26" i="34"/>
  <c r="G26" i="34"/>
  <c r="D26" i="34"/>
  <c r="J25" i="34"/>
  <c r="G25" i="34"/>
  <c r="D25" i="34"/>
  <c r="J24" i="34"/>
  <c r="G24" i="34"/>
  <c r="D24" i="34"/>
  <c r="J23" i="34"/>
  <c r="G23" i="34"/>
  <c r="D23" i="34"/>
  <c r="J22" i="34"/>
  <c r="G22" i="34"/>
  <c r="D22" i="34"/>
  <c r="J21" i="34"/>
  <c r="G21" i="34"/>
  <c r="D21" i="34"/>
  <c r="J20" i="34"/>
  <c r="G20" i="34"/>
  <c r="D20" i="34"/>
  <c r="J19" i="34"/>
  <c r="G19" i="34"/>
  <c r="D19" i="34"/>
  <c r="J18" i="34"/>
  <c r="G18" i="34"/>
  <c r="D18" i="34"/>
  <c r="J17" i="34"/>
  <c r="G17" i="34"/>
  <c r="D17" i="34"/>
  <c r="J16" i="34"/>
  <c r="G16" i="34"/>
  <c r="D16" i="34"/>
  <c r="J15" i="34"/>
  <c r="G15" i="34"/>
  <c r="D15" i="34"/>
  <c r="J14" i="34"/>
  <c r="G14" i="34"/>
  <c r="D14" i="34"/>
  <c r="J13" i="34"/>
  <c r="G13" i="34"/>
  <c r="D13" i="34"/>
  <c r="J12" i="34"/>
  <c r="G12" i="34"/>
  <c r="D12" i="34"/>
  <c r="J11" i="34"/>
  <c r="G11" i="34"/>
  <c r="D11" i="34"/>
  <c r="J10" i="34"/>
  <c r="G10" i="34"/>
  <c r="D10" i="34"/>
  <c r="J9" i="34"/>
  <c r="G9" i="34"/>
  <c r="D9" i="34"/>
  <c r="J8" i="34"/>
  <c r="G8" i="34"/>
  <c r="D8" i="34"/>
  <c r="J7" i="34"/>
  <c r="G7" i="34"/>
  <c r="D7" i="34"/>
  <c r="J45" i="33"/>
  <c r="G45" i="33"/>
  <c r="D45" i="33"/>
  <c r="J44" i="33"/>
  <c r="G44" i="33"/>
  <c r="D44" i="33"/>
  <c r="J43" i="33"/>
  <c r="G43" i="33"/>
  <c r="D43" i="33"/>
  <c r="J42" i="33"/>
  <c r="G42" i="33"/>
  <c r="D42" i="33"/>
  <c r="J41" i="33"/>
  <c r="G41" i="33"/>
  <c r="D41" i="33"/>
  <c r="J40" i="33"/>
  <c r="G40" i="33"/>
  <c r="D40" i="33"/>
  <c r="J39" i="33"/>
  <c r="G39" i="33"/>
  <c r="D39" i="33"/>
  <c r="J38" i="33"/>
  <c r="G38" i="33"/>
  <c r="D38" i="33"/>
  <c r="J37" i="33"/>
  <c r="G37" i="33"/>
  <c r="D37" i="33"/>
  <c r="J36" i="33"/>
  <c r="G36" i="33"/>
  <c r="D36" i="33"/>
  <c r="J35" i="33"/>
  <c r="G35" i="33"/>
  <c r="D35" i="33"/>
  <c r="J34" i="33"/>
  <c r="G34" i="33"/>
  <c r="D34" i="33"/>
  <c r="J33" i="33"/>
  <c r="G33" i="33"/>
  <c r="D33" i="33"/>
  <c r="J32" i="33"/>
  <c r="G32" i="33"/>
  <c r="D32" i="33"/>
  <c r="J31" i="33"/>
  <c r="G31" i="33"/>
  <c r="D31" i="33"/>
  <c r="J30" i="33"/>
  <c r="G30" i="33"/>
  <c r="D30" i="33"/>
  <c r="J29" i="33"/>
  <c r="G29" i="33"/>
  <c r="D29" i="33"/>
  <c r="J28" i="33"/>
  <c r="G28" i="33"/>
  <c r="D28" i="33"/>
  <c r="J27" i="33"/>
  <c r="G27" i="33"/>
  <c r="D27" i="33"/>
  <c r="J26" i="33"/>
  <c r="G26" i="33"/>
  <c r="D26" i="33"/>
  <c r="J25" i="33"/>
  <c r="G25" i="33"/>
  <c r="D25" i="33"/>
  <c r="J24" i="33"/>
  <c r="G24" i="33"/>
  <c r="D24" i="33"/>
  <c r="J23" i="33"/>
  <c r="G23" i="33"/>
  <c r="D23" i="33"/>
  <c r="J22" i="33"/>
  <c r="G22" i="33"/>
  <c r="D22" i="33"/>
  <c r="J21" i="33"/>
  <c r="G21" i="33"/>
  <c r="D21" i="33"/>
  <c r="J20" i="33"/>
  <c r="G20" i="33"/>
  <c r="D20" i="33"/>
  <c r="J19" i="33"/>
  <c r="G19" i="33"/>
  <c r="D19" i="33"/>
  <c r="J18" i="33"/>
  <c r="G18" i="33"/>
  <c r="D18" i="33"/>
  <c r="J17" i="33"/>
  <c r="G17" i="33"/>
  <c r="D17" i="33"/>
  <c r="J16" i="33"/>
  <c r="G16" i="33"/>
  <c r="D16" i="33"/>
  <c r="J15" i="33"/>
  <c r="G15" i="33"/>
  <c r="D15" i="33"/>
  <c r="J14" i="33"/>
  <c r="G14" i="33"/>
  <c r="D14" i="33"/>
  <c r="J13" i="33"/>
  <c r="G13" i="33"/>
  <c r="D13" i="33"/>
  <c r="J12" i="33"/>
  <c r="G12" i="33"/>
  <c r="D12" i="33"/>
  <c r="J11" i="33"/>
  <c r="G11" i="33"/>
  <c r="D11" i="33"/>
  <c r="J10" i="33"/>
  <c r="G10" i="33"/>
  <c r="D10" i="33"/>
  <c r="J9" i="33"/>
  <c r="G9" i="33"/>
  <c r="D9" i="33"/>
  <c r="J8" i="33"/>
  <c r="G8" i="33"/>
  <c r="D8" i="33"/>
  <c r="J7" i="33"/>
  <c r="G7" i="33"/>
  <c r="D7" i="33"/>
  <c r="J45" i="32"/>
  <c r="G45" i="32"/>
  <c r="D45" i="32"/>
  <c r="J44" i="32"/>
  <c r="G44" i="32"/>
  <c r="D44" i="32"/>
  <c r="J43" i="32"/>
  <c r="G43" i="32"/>
  <c r="D43" i="32"/>
  <c r="J42" i="32"/>
  <c r="G42" i="32"/>
  <c r="D42" i="32"/>
  <c r="J41" i="32"/>
  <c r="G41" i="32"/>
  <c r="D41" i="32"/>
  <c r="J40" i="32"/>
  <c r="G40" i="32"/>
  <c r="D40" i="32"/>
  <c r="J39" i="32"/>
  <c r="G39" i="32"/>
  <c r="D39" i="32"/>
  <c r="J38" i="32"/>
  <c r="G38" i="32"/>
  <c r="D38" i="32"/>
  <c r="J37" i="32"/>
  <c r="G37" i="32"/>
  <c r="D37" i="32"/>
  <c r="J36" i="32"/>
  <c r="G36" i="32"/>
  <c r="D36" i="32"/>
  <c r="J35" i="32"/>
  <c r="G35" i="32"/>
  <c r="D35" i="32"/>
  <c r="J34" i="32"/>
  <c r="G34" i="32"/>
  <c r="D34" i="32"/>
  <c r="J33" i="32"/>
  <c r="G33" i="32"/>
  <c r="D33" i="32"/>
  <c r="J32" i="32"/>
  <c r="G32" i="32"/>
  <c r="D32" i="32"/>
  <c r="J31" i="32"/>
  <c r="G31" i="32"/>
  <c r="D31" i="32"/>
  <c r="J30" i="32"/>
  <c r="G30" i="32"/>
  <c r="D30" i="32"/>
  <c r="J29" i="32"/>
  <c r="G29" i="32"/>
  <c r="D29" i="32"/>
  <c r="J28" i="32"/>
  <c r="G28" i="32"/>
  <c r="D28" i="32"/>
  <c r="J27" i="32"/>
  <c r="G27" i="32"/>
  <c r="D27" i="32"/>
  <c r="J26" i="32"/>
  <c r="G26" i="32"/>
  <c r="D26" i="32"/>
  <c r="J25" i="32"/>
  <c r="G25" i="32"/>
  <c r="D25" i="32"/>
  <c r="J24" i="32"/>
  <c r="G24" i="32"/>
  <c r="D24" i="32"/>
  <c r="J23" i="32"/>
  <c r="G23" i="32"/>
  <c r="D23" i="32"/>
  <c r="J22" i="32"/>
  <c r="G22" i="32"/>
  <c r="D22" i="32"/>
  <c r="J21" i="32"/>
  <c r="G21" i="32"/>
  <c r="D21" i="32"/>
  <c r="J20" i="32"/>
  <c r="G20" i="32"/>
  <c r="D20" i="32"/>
  <c r="J19" i="32"/>
  <c r="G19" i="32"/>
  <c r="D19" i="32"/>
  <c r="J18" i="32"/>
  <c r="G18" i="32"/>
  <c r="D18" i="32"/>
  <c r="J17" i="32"/>
  <c r="G17" i="32"/>
  <c r="D17" i="32"/>
  <c r="J16" i="32"/>
  <c r="G16" i="32"/>
  <c r="D16" i="32"/>
  <c r="J15" i="32"/>
  <c r="G15" i="32"/>
  <c r="D15" i="32"/>
  <c r="J14" i="32"/>
  <c r="G14" i="32"/>
  <c r="D14" i="32"/>
  <c r="J13" i="32"/>
  <c r="G13" i="32"/>
  <c r="D13" i="32"/>
  <c r="J12" i="32"/>
  <c r="G12" i="32"/>
  <c r="D12" i="32"/>
  <c r="J11" i="32"/>
  <c r="G11" i="32"/>
  <c r="D11" i="32"/>
  <c r="J10" i="32"/>
  <c r="G10" i="32"/>
  <c r="D10" i="32"/>
  <c r="J9" i="32"/>
  <c r="G9" i="32"/>
  <c r="D9" i="32"/>
  <c r="J8" i="32"/>
  <c r="G8" i="32"/>
  <c r="D8" i="32"/>
  <c r="J7" i="32"/>
  <c r="G7" i="32"/>
  <c r="D7" i="32"/>
  <c r="J45" i="31" l="1"/>
  <c r="G45" i="31"/>
  <c r="D45" i="31"/>
  <c r="J44" i="31"/>
  <c r="G44" i="31"/>
  <c r="D44" i="31"/>
  <c r="J43" i="31"/>
  <c r="G43" i="31"/>
  <c r="D43" i="31"/>
  <c r="J42" i="31"/>
  <c r="G42" i="31"/>
  <c r="D42" i="31"/>
  <c r="J41" i="31"/>
  <c r="G41" i="31"/>
  <c r="D41" i="31"/>
  <c r="J40" i="31"/>
  <c r="G40" i="31"/>
  <c r="D40" i="31"/>
  <c r="J39" i="31"/>
  <c r="G39" i="31"/>
  <c r="D39" i="31"/>
  <c r="J38" i="31"/>
  <c r="G38" i="31"/>
  <c r="D38" i="31"/>
  <c r="J37" i="31"/>
  <c r="G37" i="31"/>
  <c r="D37" i="31"/>
  <c r="J36" i="31"/>
  <c r="G36" i="31"/>
  <c r="D36" i="31"/>
  <c r="J35" i="31"/>
  <c r="G35" i="31"/>
  <c r="D35" i="31"/>
  <c r="J34" i="31"/>
  <c r="G34" i="31"/>
  <c r="D34" i="31"/>
  <c r="J33" i="31"/>
  <c r="G33" i="31"/>
  <c r="D33" i="31"/>
  <c r="J32" i="31"/>
  <c r="G32" i="31"/>
  <c r="D32" i="31"/>
  <c r="J31" i="31"/>
  <c r="G31" i="31"/>
  <c r="D31" i="31"/>
  <c r="J30" i="31"/>
  <c r="G30" i="31"/>
  <c r="D30" i="31"/>
  <c r="J29" i="31"/>
  <c r="G29" i="31"/>
  <c r="D29" i="31"/>
  <c r="J28" i="31"/>
  <c r="G28" i="31"/>
  <c r="D28" i="31"/>
  <c r="J27" i="31"/>
  <c r="G27" i="31"/>
  <c r="D27" i="31"/>
  <c r="J26" i="31"/>
  <c r="G26" i="31"/>
  <c r="D26" i="31"/>
  <c r="J25" i="31"/>
  <c r="G25" i="31"/>
  <c r="D25" i="31"/>
  <c r="J24" i="31"/>
  <c r="G24" i="31"/>
  <c r="D24" i="31"/>
  <c r="J23" i="31"/>
  <c r="G23" i="31"/>
  <c r="D23" i="31"/>
  <c r="J22" i="31"/>
  <c r="G22" i="31"/>
  <c r="D22" i="31"/>
  <c r="J21" i="31"/>
  <c r="G21" i="31"/>
  <c r="D21" i="31"/>
  <c r="J20" i="31"/>
  <c r="G20" i="31"/>
  <c r="D20" i="31"/>
  <c r="J19" i="31"/>
  <c r="G19" i="31"/>
  <c r="D19" i="31"/>
  <c r="J18" i="31"/>
  <c r="G18" i="31"/>
  <c r="D18" i="31"/>
  <c r="J17" i="31"/>
  <c r="G17" i="31"/>
  <c r="D17" i="31"/>
  <c r="J16" i="31"/>
  <c r="G16" i="31"/>
  <c r="D16" i="31"/>
  <c r="J15" i="31"/>
  <c r="G15" i="31"/>
  <c r="D15" i="31"/>
  <c r="J14" i="31"/>
  <c r="G14" i="31"/>
  <c r="D14" i="31"/>
  <c r="J13" i="31"/>
  <c r="G13" i="31"/>
  <c r="D13" i="31"/>
  <c r="J12" i="31"/>
  <c r="G12" i="31"/>
  <c r="D12" i="31"/>
  <c r="J11" i="31"/>
  <c r="G11" i="31"/>
  <c r="D11" i="31"/>
  <c r="J10" i="31"/>
  <c r="G10" i="31"/>
  <c r="D10" i="31"/>
  <c r="J9" i="31"/>
  <c r="G9" i="31"/>
  <c r="D9" i="31"/>
  <c r="J8" i="31"/>
  <c r="G8" i="31"/>
  <c r="D8" i="31"/>
  <c r="J7" i="31"/>
  <c r="G7" i="31"/>
  <c r="D7" i="31"/>
  <c r="J45" i="30" l="1"/>
  <c r="G45" i="30"/>
  <c r="D45" i="30"/>
  <c r="J44" i="30"/>
  <c r="G44" i="30"/>
  <c r="D44" i="30"/>
  <c r="J43" i="30"/>
  <c r="G43" i="30"/>
  <c r="D43" i="30"/>
  <c r="J42" i="30"/>
  <c r="G42" i="30"/>
  <c r="D42" i="30"/>
  <c r="J41" i="30"/>
  <c r="G41" i="30"/>
  <c r="D41" i="30"/>
  <c r="J40" i="30"/>
  <c r="G40" i="30"/>
  <c r="D40" i="30"/>
  <c r="J39" i="30"/>
  <c r="G39" i="30"/>
  <c r="D39" i="30"/>
  <c r="J38" i="30"/>
  <c r="G38" i="30"/>
  <c r="D38" i="30"/>
  <c r="J37" i="30"/>
  <c r="G37" i="30"/>
  <c r="D37" i="30"/>
  <c r="J36" i="30"/>
  <c r="G36" i="30"/>
  <c r="D36" i="30"/>
  <c r="J35" i="30"/>
  <c r="G35" i="30"/>
  <c r="D35" i="30"/>
  <c r="J34" i="30"/>
  <c r="G34" i="30"/>
  <c r="D34" i="30"/>
  <c r="J33" i="30"/>
  <c r="G33" i="30"/>
  <c r="D33" i="30"/>
  <c r="J32" i="30"/>
  <c r="G32" i="30"/>
  <c r="D32" i="30"/>
  <c r="J31" i="30"/>
  <c r="G31" i="30"/>
  <c r="D31" i="30"/>
  <c r="J30" i="30"/>
  <c r="G30" i="30"/>
  <c r="D30" i="30"/>
  <c r="J29" i="30"/>
  <c r="G29" i="30"/>
  <c r="D29" i="30"/>
  <c r="J28" i="30"/>
  <c r="G28" i="30"/>
  <c r="D28" i="30"/>
  <c r="J27" i="30"/>
  <c r="G27" i="30"/>
  <c r="D27" i="30"/>
  <c r="J26" i="30"/>
  <c r="G26" i="30"/>
  <c r="D26" i="30"/>
  <c r="J25" i="30"/>
  <c r="G25" i="30"/>
  <c r="D25" i="30"/>
  <c r="J24" i="30"/>
  <c r="G24" i="30"/>
  <c r="D24" i="30"/>
  <c r="J23" i="30"/>
  <c r="G23" i="30"/>
  <c r="D23" i="30"/>
  <c r="J22" i="30"/>
  <c r="G22" i="30"/>
  <c r="D22" i="30"/>
  <c r="J21" i="30"/>
  <c r="G21" i="30"/>
  <c r="D21" i="30"/>
  <c r="J20" i="30"/>
  <c r="G20" i="30"/>
  <c r="D20" i="30"/>
  <c r="J19" i="30"/>
  <c r="G19" i="30"/>
  <c r="D19" i="30"/>
  <c r="J18" i="30"/>
  <c r="G18" i="30"/>
  <c r="D18" i="30"/>
  <c r="J17" i="30"/>
  <c r="G17" i="30"/>
  <c r="D17" i="30"/>
  <c r="J16" i="30"/>
  <c r="G16" i="30"/>
  <c r="D16" i="30"/>
  <c r="J15" i="30"/>
  <c r="G15" i="30"/>
  <c r="D15" i="30"/>
  <c r="J14" i="30"/>
  <c r="G14" i="30"/>
  <c r="D14" i="30"/>
  <c r="J13" i="30"/>
  <c r="G13" i="30"/>
  <c r="D13" i="30"/>
  <c r="J12" i="30"/>
  <c r="G12" i="30"/>
  <c r="D12" i="30"/>
  <c r="J11" i="30"/>
  <c r="G11" i="30"/>
  <c r="D11" i="30"/>
  <c r="J10" i="30"/>
  <c r="G10" i="30"/>
  <c r="D10" i="30"/>
  <c r="J9" i="30"/>
  <c r="G9" i="30"/>
  <c r="D9" i="30"/>
  <c r="J8" i="30"/>
  <c r="G8" i="30"/>
  <c r="D8" i="30"/>
  <c r="J7" i="30"/>
  <c r="G7" i="30"/>
  <c r="D7" i="30"/>
  <c r="J45" i="29"/>
  <c r="G45" i="29"/>
  <c r="D45" i="29"/>
  <c r="J44" i="29"/>
  <c r="G44" i="29"/>
  <c r="D44" i="29"/>
  <c r="J43" i="29"/>
  <c r="G43" i="29"/>
  <c r="D43" i="29"/>
  <c r="J42" i="29"/>
  <c r="G42" i="29"/>
  <c r="D42" i="29"/>
  <c r="J41" i="29"/>
  <c r="G41" i="29"/>
  <c r="D41" i="29"/>
  <c r="J40" i="29"/>
  <c r="G40" i="29"/>
  <c r="D40" i="29"/>
  <c r="J39" i="29"/>
  <c r="G39" i="29"/>
  <c r="D39" i="29"/>
  <c r="J38" i="29"/>
  <c r="G38" i="29"/>
  <c r="D38" i="29"/>
  <c r="J37" i="29"/>
  <c r="G37" i="29"/>
  <c r="D37" i="29"/>
  <c r="J36" i="29"/>
  <c r="G36" i="29"/>
  <c r="D36" i="29"/>
  <c r="J35" i="29"/>
  <c r="G35" i="29"/>
  <c r="D35" i="29"/>
  <c r="J34" i="29"/>
  <c r="G34" i="29"/>
  <c r="D34" i="29"/>
  <c r="J33" i="29"/>
  <c r="G33" i="29"/>
  <c r="D33" i="29"/>
  <c r="J32" i="29"/>
  <c r="G32" i="29"/>
  <c r="D32" i="29"/>
  <c r="J31" i="29"/>
  <c r="G31" i="29"/>
  <c r="D31" i="29"/>
  <c r="J30" i="29"/>
  <c r="G30" i="29"/>
  <c r="D30" i="29"/>
  <c r="J29" i="29"/>
  <c r="G29" i="29"/>
  <c r="D29" i="29"/>
  <c r="J28" i="29"/>
  <c r="G28" i="29"/>
  <c r="D28" i="29"/>
  <c r="J27" i="29"/>
  <c r="G27" i="29"/>
  <c r="D27" i="29"/>
  <c r="J26" i="29"/>
  <c r="G26" i="29"/>
  <c r="D26" i="29"/>
  <c r="J25" i="29"/>
  <c r="G25" i="29"/>
  <c r="D25" i="29"/>
  <c r="J24" i="29"/>
  <c r="G24" i="29"/>
  <c r="D24" i="29"/>
  <c r="J23" i="29"/>
  <c r="G23" i="29"/>
  <c r="D23" i="29"/>
  <c r="J22" i="29"/>
  <c r="G22" i="29"/>
  <c r="D22" i="29"/>
  <c r="J21" i="29"/>
  <c r="G21" i="29"/>
  <c r="D21" i="29"/>
  <c r="J20" i="29"/>
  <c r="G20" i="29"/>
  <c r="D20" i="29"/>
  <c r="J19" i="29"/>
  <c r="G19" i="29"/>
  <c r="D19" i="29"/>
  <c r="J18" i="29"/>
  <c r="G18" i="29"/>
  <c r="D18" i="29"/>
  <c r="J17" i="29"/>
  <c r="G17" i="29"/>
  <c r="D17" i="29"/>
  <c r="J16" i="29"/>
  <c r="G16" i="29"/>
  <c r="D16" i="29"/>
  <c r="J15" i="29"/>
  <c r="G15" i="29"/>
  <c r="D15" i="29"/>
  <c r="J14" i="29"/>
  <c r="G14" i="29"/>
  <c r="D14" i="29"/>
  <c r="J13" i="29"/>
  <c r="G13" i="29"/>
  <c r="D13" i="29"/>
  <c r="J12" i="29"/>
  <c r="G12" i="29"/>
  <c r="D12" i="29"/>
  <c r="J11" i="29"/>
  <c r="G11" i="29"/>
  <c r="D11" i="29"/>
  <c r="J10" i="29"/>
  <c r="G10" i="29"/>
  <c r="D10" i="29"/>
  <c r="J9" i="29"/>
  <c r="G9" i="29"/>
  <c r="D9" i="29"/>
  <c r="J8" i="29"/>
  <c r="G8" i="29"/>
  <c r="D8" i="29"/>
  <c r="J7" i="29"/>
  <c r="G7" i="29"/>
  <c r="D7" i="29"/>
  <c r="J45" i="28" l="1"/>
  <c r="G45" i="28"/>
  <c r="D45" i="28"/>
  <c r="J44" i="28"/>
  <c r="G44" i="28"/>
  <c r="D44" i="28"/>
  <c r="J43" i="28"/>
  <c r="G43" i="28"/>
  <c r="D43" i="28"/>
  <c r="J42" i="28"/>
  <c r="G42" i="28"/>
  <c r="D42" i="28"/>
  <c r="J41" i="28"/>
  <c r="G41" i="28"/>
  <c r="D41" i="28"/>
  <c r="J40" i="28"/>
  <c r="G40" i="28"/>
  <c r="D40" i="28"/>
  <c r="J39" i="28"/>
  <c r="G39" i="28"/>
  <c r="D39" i="28"/>
  <c r="J38" i="28"/>
  <c r="G38" i="28"/>
  <c r="D38" i="28"/>
  <c r="J37" i="28"/>
  <c r="G37" i="28"/>
  <c r="D37" i="28"/>
  <c r="J36" i="28"/>
  <c r="G36" i="28"/>
  <c r="D36" i="28"/>
  <c r="J35" i="28"/>
  <c r="G35" i="28"/>
  <c r="D35" i="28"/>
  <c r="J34" i="28"/>
  <c r="G34" i="28"/>
  <c r="D34" i="28"/>
  <c r="J33" i="28"/>
  <c r="G33" i="28"/>
  <c r="D33" i="28"/>
  <c r="J32" i="28"/>
  <c r="G32" i="28"/>
  <c r="D32" i="28"/>
  <c r="J31" i="28"/>
  <c r="G31" i="28"/>
  <c r="D31" i="28"/>
  <c r="J30" i="28"/>
  <c r="G30" i="28"/>
  <c r="D30" i="28"/>
  <c r="J29" i="28"/>
  <c r="G29" i="28"/>
  <c r="D29" i="28"/>
  <c r="J28" i="28"/>
  <c r="G28" i="28"/>
  <c r="D28" i="28"/>
  <c r="J27" i="28"/>
  <c r="G27" i="28"/>
  <c r="D27" i="28"/>
  <c r="J26" i="28"/>
  <c r="G26" i="28"/>
  <c r="D26" i="28"/>
  <c r="J25" i="28"/>
  <c r="G25" i="28"/>
  <c r="D25" i="28"/>
  <c r="J24" i="28"/>
  <c r="G24" i="28"/>
  <c r="D24" i="28"/>
  <c r="J23" i="28"/>
  <c r="G23" i="28"/>
  <c r="D23" i="28"/>
  <c r="J22" i="28"/>
  <c r="G22" i="28"/>
  <c r="D22" i="28"/>
  <c r="J21" i="28"/>
  <c r="G21" i="28"/>
  <c r="D21" i="28"/>
  <c r="J20" i="28"/>
  <c r="G20" i="28"/>
  <c r="D20" i="28"/>
  <c r="J19" i="28"/>
  <c r="G19" i="28"/>
  <c r="D19" i="28"/>
  <c r="J18" i="28"/>
  <c r="G18" i="28"/>
  <c r="D18" i="28"/>
  <c r="J17" i="28"/>
  <c r="G17" i="28"/>
  <c r="D17" i="28"/>
  <c r="J16" i="28"/>
  <c r="G16" i="28"/>
  <c r="D16" i="28"/>
  <c r="J15" i="28"/>
  <c r="G15" i="28"/>
  <c r="D15" i="28"/>
  <c r="J14" i="28"/>
  <c r="G14" i="28"/>
  <c r="D14" i="28"/>
  <c r="J13" i="28"/>
  <c r="G13" i="28"/>
  <c r="D13" i="28"/>
  <c r="J12" i="28"/>
  <c r="G12" i="28"/>
  <c r="D12" i="28"/>
  <c r="J11" i="28"/>
  <c r="G11" i="28"/>
  <c r="D11" i="28"/>
  <c r="J10" i="28"/>
  <c r="G10" i="28"/>
  <c r="D10" i="28"/>
  <c r="J9" i="28"/>
  <c r="G9" i="28"/>
  <c r="D9" i="28"/>
  <c r="J8" i="28"/>
  <c r="G8" i="28"/>
  <c r="D8" i="28"/>
  <c r="J7" i="28"/>
  <c r="G7" i="28"/>
  <c r="D7" i="28"/>
  <c r="J45" i="27"/>
  <c r="G45" i="27"/>
  <c r="D45" i="27"/>
  <c r="J44" i="27"/>
  <c r="G44" i="27"/>
  <c r="D44" i="27"/>
  <c r="J43" i="27"/>
  <c r="G43" i="27"/>
  <c r="D43" i="27"/>
  <c r="J42" i="27"/>
  <c r="G42" i="27"/>
  <c r="D42" i="27"/>
  <c r="J41" i="27"/>
  <c r="G41" i="27"/>
  <c r="D41" i="27"/>
  <c r="J40" i="27"/>
  <c r="G40" i="27"/>
  <c r="D40" i="27"/>
  <c r="J39" i="27"/>
  <c r="G39" i="27"/>
  <c r="D39" i="27"/>
  <c r="J38" i="27"/>
  <c r="G38" i="27"/>
  <c r="D38" i="27"/>
  <c r="J37" i="27"/>
  <c r="G37" i="27"/>
  <c r="D37" i="27"/>
  <c r="J36" i="27"/>
  <c r="G36" i="27"/>
  <c r="D36" i="27"/>
  <c r="J35" i="27"/>
  <c r="G35" i="27"/>
  <c r="D35" i="27"/>
  <c r="J34" i="27"/>
  <c r="G34" i="27"/>
  <c r="D34" i="27"/>
  <c r="J33" i="27"/>
  <c r="G33" i="27"/>
  <c r="D33" i="27"/>
  <c r="J32" i="27"/>
  <c r="G32" i="27"/>
  <c r="D32" i="27"/>
  <c r="J31" i="27"/>
  <c r="G31" i="27"/>
  <c r="D31" i="27"/>
  <c r="J30" i="27"/>
  <c r="G30" i="27"/>
  <c r="D30" i="27"/>
  <c r="J29" i="27"/>
  <c r="G29" i="27"/>
  <c r="D29" i="27"/>
  <c r="J28" i="27"/>
  <c r="G28" i="27"/>
  <c r="D28" i="27"/>
  <c r="J27" i="27"/>
  <c r="G27" i="27"/>
  <c r="D27" i="27"/>
  <c r="J26" i="27"/>
  <c r="G26" i="27"/>
  <c r="D26" i="27"/>
  <c r="J25" i="27"/>
  <c r="G25" i="27"/>
  <c r="D25" i="27"/>
  <c r="J24" i="27"/>
  <c r="G24" i="27"/>
  <c r="D24" i="27"/>
  <c r="J23" i="27"/>
  <c r="G23" i="27"/>
  <c r="D23" i="27"/>
  <c r="J22" i="27"/>
  <c r="G22" i="27"/>
  <c r="D22" i="27"/>
  <c r="J21" i="27"/>
  <c r="G21" i="27"/>
  <c r="D21" i="27"/>
  <c r="J20" i="27"/>
  <c r="G20" i="27"/>
  <c r="D20" i="27"/>
  <c r="J19" i="27"/>
  <c r="G19" i="27"/>
  <c r="D19" i="27"/>
  <c r="J18" i="27"/>
  <c r="G18" i="27"/>
  <c r="D18" i="27"/>
  <c r="J17" i="27"/>
  <c r="G17" i="27"/>
  <c r="D17" i="27"/>
  <c r="J16" i="27"/>
  <c r="G16" i="27"/>
  <c r="D16" i="27"/>
  <c r="J15" i="27"/>
  <c r="G15" i="27"/>
  <c r="D15" i="27"/>
  <c r="J14" i="27"/>
  <c r="G14" i="27"/>
  <c r="D14" i="27"/>
  <c r="J13" i="27"/>
  <c r="G13" i="27"/>
  <c r="D13" i="27"/>
  <c r="J12" i="27"/>
  <c r="G12" i="27"/>
  <c r="D12" i="27"/>
  <c r="J11" i="27"/>
  <c r="G11" i="27"/>
  <c r="D11" i="27"/>
  <c r="J10" i="27"/>
  <c r="G10" i="27"/>
  <c r="D10" i="27"/>
  <c r="J9" i="27"/>
  <c r="G9" i="27"/>
  <c r="D9" i="27"/>
  <c r="J8" i="27"/>
  <c r="G8" i="27"/>
  <c r="D8" i="27"/>
  <c r="J7" i="27"/>
  <c r="G7" i="27"/>
  <c r="D7" i="27"/>
  <c r="J45" i="26"/>
  <c r="G45" i="26"/>
  <c r="D45" i="26"/>
  <c r="J44" i="26"/>
  <c r="G44" i="26"/>
  <c r="D44" i="26"/>
  <c r="J43" i="26"/>
  <c r="G43" i="26"/>
  <c r="D43" i="26"/>
  <c r="J42" i="26"/>
  <c r="G42" i="26"/>
  <c r="D42" i="26"/>
  <c r="J41" i="26"/>
  <c r="G41" i="26"/>
  <c r="D41" i="26"/>
  <c r="J40" i="26"/>
  <c r="G40" i="26"/>
  <c r="D40" i="26"/>
  <c r="J39" i="26"/>
  <c r="G39" i="26"/>
  <c r="D39" i="26"/>
  <c r="J38" i="26"/>
  <c r="G38" i="26"/>
  <c r="D38" i="26"/>
  <c r="J37" i="26"/>
  <c r="G37" i="26"/>
  <c r="D37" i="26"/>
  <c r="J36" i="26"/>
  <c r="G36" i="26"/>
  <c r="D36" i="26"/>
  <c r="J35" i="26"/>
  <c r="G35" i="26"/>
  <c r="D35" i="26"/>
  <c r="J34" i="26"/>
  <c r="G34" i="26"/>
  <c r="D34" i="26"/>
  <c r="J33" i="26"/>
  <c r="G33" i="26"/>
  <c r="D33" i="26"/>
  <c r="J32" i="26"/>
  <c r="G32" i="26"/>
  <c r="D32" i="26"/>
  <c r="J31" i="26"/>
  <c r="G31" i="26"/>
  <c r="D31" i="26"/>
  <c r="J30" i="26"/>
  <c r="G30" i="26"/>
  <c r="D30" i="26"/>
  <c r="J29" i="26"/>
  <c r="G29" i="26"/>
  <c r="D29" i="26"/>
  <c r="J28" i="26"/>
  <c r="G28" i="26"/>
  <c r="D28" i="26"/>
  <c r="J27" i="26"/>
  <c r="G27" i="26"/>
  <c r="D27" i="26"/>
  <c r="J26" i="26"/>
  <c r="G26" i="26"/>
  <c r="D26" i="26"/>
  <c r="J25" i="26"/>
  <c r="G25" i="26"/>
  <c r="D25" i="26"/>
  <c r="J24" i="26"/>
  <c r="G24" i="26"/>
  <c r="D24" i="26"/>
  <c r="J23" i="26"/>
  <c r="G23" i="26"/>
  <c r="D23" i="26"/>
  <c r="J22" i="26"/>
  <c r="G22" i="26"/>
  <c r="D22" i="26"/>
  <c r="J21" i="26"/>
  <c r="G21" i="26"/>
  <c r="D21" i="26"/>
  <c r="J20" i="26"/>
  <c r="G20" i="26"/>
  <c r="D20" i="26"/>
  <c r="J19" i="26"/>
  <c r="G19" i="26"/>
  <c r="D19" i="26"/>
  <c r="J18" i="26"/>
  <c r="G18" i="26"/>
  <c r="D18" i="26"/>
  <c r="J17" i="26"/>
  <c r="G17" i="26"/>
  <c r="D17" i="26"/>
  <c r="J16" i="26"/>
  <c r="G16" i="26"/>
  <c r="D16" i="26"/>
  <c r="J15" i="26"/>
  <c r="G15" i="26"/>
  <c r="D15" i="26"/>
  <c r="J14" i="26"/>
  <c r="G14" i="26"/>
  <c r="D14" i="26"/>
  <c r="J13" i="26"/>
  <c r="G13" i="26"/>
  <c r="D13" i="26"/>
  <c r="J12" i="26"/>
  <c r="G12" i="26"/>
  <c r="D12" i="26"/>
  <c r="J11" i="26"/>
  <c r="G11" i="26"/>
  <c r="D11" i="26"/>
  <c r="J10" i="26"/>
  <c r="G10" i="26"/>
  <c r="D10" i="26"/>
  <c r="J9" i="26"/>
  <c r="G9" i="26"/>
  <c r="D9" i="26"/>
  <c r="J8" i="26"/>
  <c r="G8" i="26"/>
  <c r="D8" i="26"/>
  <c r="J7" i="26"/>
  <c r="G7" i="26"/>
  <c r="D7" i="26"/>
  <c r="J45" i="25" l="1"/>
  <c r="G45" i="25"/>
  <c r="D45" i="25"/>
  <c r="J44" i="25"/>
  <c r="G44" i="25"/>
  <c r="D44" i="25"/>
  <c r="J43" i="25"/>
  <c r="G43" i="25"/>
  <c r="D43" i="25"/>
  <c r="J42" i="25"/>
  <c r="G42" i="25"/>
  <c r="D42" i="25"/>
  <c r="J41" i="25"/>
  <c r="G41" i="25"/>
  <c r="D41" i="25"/>
  <c r="J40" i="25"/>
  <c r="G40" i="25"/>
  <c r="D40" i="25"/>
  <c r="J39" i="25"/>
  <c r="G39" i="25"/>
  <c r="D39" i="25"/>
  <c r="J38" i="25"/>
  <c r="G38" i="25"/>
  <c r="D38" i="25"/>
  <c r="J37" i="25"/>
  <c r="G37" i="25"/>
  <c r="D37" i="25"/>
  <c r="J36" i="25"/>
  <c r="G36" i="25"/>
  <c r="D36" i="25"/>
  <c r="J35" i="25"/>
  <c r="G35" i="25"/>
  <c r="D35" i="25"/>
  <c r="J34" i="25"/>
  <c r="G34" i="25"/>
  <c r="D34" i="25"/>
  <c r="J33" i="25"/>
  <c r="G33" i="25"/>
  <c r="D33" i="25"/>
  <c r="J32" i="25"/>
  <c r="G32" i="25"/>
  <c r="D32" i="25"/>
  <c r="J31" i="25"/>
  <c r="G31" i="25"/>
  <c r="D31" i="25"/>
  <c r="J30" i="25"/>
  <c r="G30" i="25"/>
  <c r="D30" i="25"/>
  <c r="J29" i="25"/>
  <c r="G29" i="25"/>
  <c r="D29" i="25"/>
  <c r="J28" i="25"/>
  <c r="G28" i="25"/>
  <c r="D28" i="25"/>
  <c r="J27" i="25"/>
  <c r="G27" i="25"/>
  <c r="D27" i="25"/>
  <c r="J26" i="25"/>
  <c r="G26" i="25"/>
  <c r="D26" i="25"/>
  <c r="J25" i="25"/>
  <c r="G25" i="25"/>
  <c r="D25" i="25"/>
  <c r="J24" i="25"/>
  <c r="G24" i="25"/>
  <c r="D24" i="25"/>
  <c r="J23" i="25"/>
  <c r="G23" i="25"/>
  <c r="D23" i="25"/>
  <c r="J22" i="25"/>
  <c r="G22" i="25"/>
  <c r="D22" i="25"/>
  <c r="J21" i="25"/>
  <c r="G21" i="25"/>
  <c r="D21" i="25"/>
  <c r="J20" i="25"/>
  <c r="G20" i="25"/>
  <c r="D20" i="25"/>
  <c r="J19" i="25"/>
  <c r="G19" i="25"/>
  <c r="D19" i="25"/>
  <c r="J18" i="25"/>
  <c r="G18" i="25"/>
  <c r="D18" i="25"/>
  <c r="J17" i="25"/>
  <c r="G17" i="25"/>
  <c r="D17" i="25"/>
  <c r="J16" i="25"/>
  <c r="G16" i="25"/>
  <c r="D16" i="25"/>
  <c r="J15" i="25"/>
  <c r="G15" i="25"/>
  <c r="D15" i="25"/>
  <c r="J14" i="25"/>
  <c r="G14" i="25"/>
  <c r="D14" i="25"/>
  <c r="J13" i="25"/>
  <c r="G13" i="25"/>
  <c r="D13" i="25"/>
  <c r="J12" i="25"/>
  <c r="G12" i="25"/>
  <c r="D12" i="25"/>
  <c r="J11" i="25"/>
  <c r="G11" i="25"/>
  <c r="D11" i="25"/>
  <c r="J10" i="25"/>
  <c r="G10" i="25"/>
  <c r="D10" i="25"/>
  <c r="J9" i="25"/>
  <c r="G9" i="25"/>
  <c r="D9" i="25"/>
  <c r="J8" i="25"/>
  <c r="G8" i="25"/>
  <c r="D8" i="25"/>
  <c r="J7" i="25"/>
  <c r="G7" i="25"/>
  <c r="D7" i="25"/>
  <c r="J45" i="24"/>
  <c r="G45" i="24"/>
  <c r="D45" i="24"/>
  <c r="J44" i="24"/>
  <c r="G44" i="24"/>
  <c r="D44" i="24"/>
  <c r="J43" i="24"/>
  <c r="G43" i="24"/>
  <c r="D43" i="24"/>
  <c r="J42" i="24"/>
  <c r="G42" i="24"/>
  <c r="D42" i="24"/>
  <c r="J41" i="24"/>
  <c r="G41" i="24"/>
  <c r="D41" i="24"/>
  <c r="J40" i="24"/>
  <c r="G40" i="24"/>
  <c r="D40" i="24"/>
  <c r="J39" i="24"/>
  <c r="G39" i="24"/>
  <c r="D39" i="24"/>
  <c r="J38" i="24"/>
  <c r="G38" i="24"/>
  <c r="D38" i="24"/>
  <c r="J37" i="24"/>
  <c r="G37" i="24"/>
  <c r="D37" i="24"/>
  <c r="J36" i="24"/>
  <c r="G36" i="24"/>
  <c r="D36" i="24"/>
  <c r="J35" i="24"/>
  <c r="G35" i="24"/>
  <c r="D35" i="24"/>
  <c r="J34" i="24"/>
  <c r="G34" i="24"/>
  <c r="D34" i="24"/>
  <c r="J33" i="24"/>
  <c r="G33" i="24"/>
  <c r="D33" i="24"/>
  <c r="J32" i="24"/>
  <c r="G32" i="24"/>
  <c r="D32" i="24"/>
  <c r="J31" i="24"/>
  <c r="G31" i="24"/>
  <c r="D31" i="24"/>
  <c r="J30" i="24"/>
  <c r="G30" i="24"/>
  <c r="D30" i="24"/>
  <c r="J29" i="24"/>
  <c r="G29" i="24"/>
  <c r="D29" i="24"/>
  <c r="J28" i="24"/>
  <c r="G28" i="24"/>
  <c r="D28" i="24"/>
  <c r="J27" i="24"/>
  <c r="G27" i="24"/>
  <c r="D27" i="24"/>
  <c r="J26" i="24"/>
  <c r="G26" i="24"/>
  <c r="D26" i="24"/>
  <c r="J25" i="24"/>
  <c r="G25" i="24"/>
  <c r="D25" i="24"/>
  <c r="J24" i="24"/>
  <c r="G24" i="24"/>
  <c r="D24" i="24"/>
  <c r="J23" i="24"/>
  <c r="G23" i="24"/>
  <c r="D23" i="24"/>
  <c r="J22" i="24"/>
  <c r="G22" i="24"/>
  <c r="D22" i="24"/>
  <c r="J21" i="24"/>
  <c r="G21" i="24"/>
  <c r="D21" i="24"/>
  <c r="J20" i="24"/>
  <c r="G20" i="24"/>
  <c r="D20" i="24"/>
  <c r="J19" i="24"/>
  <c r="G19" i="24"/>
  <c r="D19" i="24"/>
  <c r="J18" i="24"/>
  <c r="G18" i="24"/>
  <c r="D18" i="24"/>
  <c r="J17" i="24"/>
  <c r="G17" i="24"/>
  <c r="D17" i="24"/>
  <c r="J16" i="24"/>
  <c r="G16" i="24"/>
  <c r="D16" i="24"/>
  <c r="J15" i="24"/>
  <c r="G15" i="24"/>
  <c r="D15" i="24"/>
  <c r="J14" i="24"/>
  <c r="G14" i="24"/>
  <c r="D14" i="24"/>
  <c r="J13" i="24"/>
  <c r="G13" i="24"/>
  <c r="D13" i="24"/>
  <c r="J12" i="24"/>
  <c r="G12" i="24"/>
  <c r="D12" i="24"/>
  <c r="J11" i="24"/>
  <c r="G11" i="24"/>
  <c r="D11" i="24"/>
  <c r="J10" i="24"/>
  <c r="G10" i="24"/>
  <c r="D10" i="24"/>
  <c r="J9" i="24"/>
  <c r="G9" i="24"/>
  <c r="D9" i="24"/>
  <c r="J8" i="24"/>
  <c r="G8" i="24"/>
  <c r="D8" i="24"/>
  <c r="J7" i="24"/>
  <c r="G7" i="24"/>
  <c r="D7" i="24"/>
  <c r="J45" i="23"/>
  <c r="G45" i="23"/>
  <c r="D45" i="23"/>
  <c r="J44" i="23"/>
  <c r="G44" i="23"/>
  <c r="D44" i="23"/>
  <c r="J43" i="23"/>
  <c r="G43" i="23"/>
  <c r="D43" i="23"/>
  <c r="J42" i="23"/>
  <c r="G42" i="23"/>
  <c r="D42" i="23"/>
  <c r="J41" i="23"/>
  <c r="G41" i="23"/>
  <c r="D41" i="23"/>
  <c r="J40" i="23"/>
  <c r="G40" i="23"/>
  <c r="D40" i="23"/>
  <c r="J39" i="23"/>
  <c r="G39" i="23"/>
  <c r="D39" i="23"/>
  <c r="J38" i="23"/>
  <c r="G38" i="23"/>
  <c r="D38" i="23"/>
  <c r="J37" i="23"/>
  <c r="G37" i="23"/>
  <c r="D37" i="23"/>
  <c r="J36" i="23"/>
  <c r="G36" i="23"/>
  <c r="D36" i="23"/>
  <c r="J35" i="23"/>
  <c r="G35" i="23"/>
  <c r="D35" i="23"/>
  <c r="J34" i="23"/>
  <c r="G34" i="23"/>
  <c r="D34" i="23"/>
  <c r="J33" i="23"/>
  <c r="G33" i="23"/>
  <c r="D33" i="23"/>
  <c r="J32" i="23"/>
  <c r="G32" i="23"/>
  <c r="D32" i="23"/>
  <c r="J31" i="23"/>
  <c r="G31" i="23"/>
  <c r="D31" i="23"/>
  <c r="J30" i="23"/>
  <c r="G30" i="23"/>
  <c r="D30" i="23"/>
  <c r="J29" i="23"/>
  <c r="G29" i="23"/>
  <c r="D29" i="23"/>
  <c r="J28" i="23"/>
  <c r="G28" i="23"/>
  <c r="D28" i="23"/>
  <c r="J27" i="23"/>
  <c r="G27" i="23"/>
  <c r="D27" i="23"/>
  <c r="J26" i="23"/>
  <c r="G26" i="23"/>
  <c r="D26" i="23"/>
  <c r="J25" i="23"/>
  <c r="G25" i="23"/>
  <c r="D25" i="23"/>
  <c r="J24" i="23"/>
  <c r="G24" i="23"/>
  <c r="D24" i="23"/>
  <c r="J23" i="23"/>
  <c r="G23" i="23"/>
  <c r="D23" i="23"/>
  <c r="J22" i="23"/>
  <c r="G22" i="23"/>
  <c r="D22" i="23"/>
  <c r="J21" i="23"/>
  <c r="G21" i="23"/>
  <c r="D21" i="23"/>
  <c r="J20" i="23"/>
  <c r="G20" i="23"/>
  <c r="D20" i="23"/>
  <c r="J19" i="23"/>
  <c r="G19" i="23"/>
  <c r="D19" i="23"/>
  <c r="J18" i="23"/>
  <c r="G18" i="23"/>
  <c r="D18" i="23"/>
  <c r="J17" i="23"/>
  <c r="G17" i="23"/>
  <c r="D17" i="23"/>
  <c r="J16" i="23"/>
  <c r="G16" i="23"/>
  <c r="D16" i="23"/>
  <c r="J15" i="23"/>
  <c r="G15" i="23"/>
  <c r="D15" i="23"/>
  <c r="J14" i="23"/>
  <c r="G14" i="23"/>
  <c r="D14" i="23"/>
  <c r="J13" i="23"/>
  <c r="G13" i="23"/>
  <c r="D13" i="23"/>
  <c r="J12" i="23"/>
  <c r="G12" i="23"/>
  <c r="D12" i="23"/>
  <c r="J11" i="23"/>
  <c r="G11" i="23"/>
  <c r="D11" i="23"/>
  <c r="J10" i="23"/>
  <c r="G10" i="23"/>
  <c r="D10" i="23"/>
  <c r="J9" i="23"/>
  <c r="G9" i="23"/>
  <c r="D9" i="23"/>
  <c r="J8" i="23"/>
  <c r="G8" i="23"/>
  <c r="D8" i="23"/>
  <c r="J7" i="23"/>
  <c r="G7" i="23"/>
  <c r="D7" i="23"/>
  <c r="J45" i="22"/>
  <c r="G45" i="22"/>
  <c r="D45" i="22"/>
  <c r="J44" i="22"/>
  <c r="G44" i="22"/>
  <c r="D44" i="22"/>
  <c r="J43" i="22"/>
  <c r="G43" i="22"/>
  <c r="D43" i="22"/>
  <c r="J42" i="22"/>
  <c r="G42" i="22"/>
  <c r="D42" i="22"/>
  <c r="J41" i="22"/>
  <c r="G41" i="22"/>
  <c r="D41" i="22"/>
  <c r="J40" i="22"/>
  <c r="G40" i="22"/>
  <c r="D40" i="22"/>
  <c r="J39" i="22"/>
  <c r="G39" i="22"/>
  <c r="D39" i="22"/>
  <c r="J38" i="22"/>
  <c r="G38" i="22"/>
  <c r="D38" i="22"/>
  <c r="J37" i="22"/>
  <c r="G37" i="22"/>
  <c r="D37" i="22"/>
  <c r="J36" i="22"/>
  <c r="G36" i="22"/>
  <c r="D36" i="22"/>
  <c r="J35" i="22"/>
  <c r="G35" i="22"/>
  <c r="D35" i="22"/>
  <c r="J34" i="22"/>
  <c r="G34" i="22"/>
  <c r="D34" i="22"/>
  <c r="J33" i="22"/>
  <c r="G33" i="22"/>
  <c r="D33" i="22"/>
  <c r="J32" i="22"/>
  <c r="G32" i="22"/>
  <c r="D32" i="22"/>
  <c r="J31" i="22"/>
  <c r="G31" i="22"/>
  <c r="D31" i="22"/>
  <c r="J30" i="22"/>
  <c r="G30" i="22"/>
  <c r="D30" i="22"/>
  <c r="J29" i="22"/>
  <c r="G29" i="22"/>
  <c r="D29" i="22"/>
  <c r="J28" i="22"/>
  <c r="G28" i="22"/>
  <c r="D28" i="22"/>
  <c r="J27" i="22"/>
  <c r="G27" i="22"/>
  <c r="D27" i="22"/>
  <c r="J26" i="22"/>
  <c r="G26" i="22"/>
  <c r="D26" i="22"/>
  <c r="J25" i="22"/>
  <c r="G25" i="22"/>
  <c r="D25" i="22"/>
  <c r="J24" i="22"/>
  <c r="G24" i="22"/>
  <c r="D24" i="22"/>
  <c r="J23" i="22"/>
  <c r="G23" i="22"/>
  <c r="D23" i="22"/>
  <c r="J22" i="22"/>
  <c r="G22" i="22"/>
  <c r="D22" i="22"/>
  <c r="J21" i="22"/>
  <c r="G21" i="22"/>
  <c r="D21" i="22"/>
  <c r="J20" i="22"/>
  <c r="G20" i="22"/>
  <c r="D20" i="22"/>
  <c r="J19" i="22"/>
  <c r="G19" i="22"/>
  <c r="D19" i="22"/>
  <c r="J18" i="22"/>
  <c r="G18" i="22"/>
  <c r="D18" i="22"/>
  <c r="J17" i="22"/>
  <c r="G17" i="22"/>
  <c r="D17" i="22"/>
  <c r="J16" i="22"/>
  <c r="G16" i="22"/>
  <c r="D16" i="22"/>
  <c r="J15" i="22"/>
  <c r="G15" i="22"/>
  <c r="D15" i="22"/>
  <c r="J14" i="22"/>
  <c r="G14" i="22"/>
  <c r="D14" i="22"/>
  <c r="J13" i="22"/>
  <c r="G13" i="22"/>
  <c r="D13" i="22"/>
  <c r="J12" i="22"/>
  <c r="G12" i="22"/>
  <c r="D12" i="22"/>
  <c r="J11" i="22"/>
  <c r="G11" i="22"/>
  <c r="D11" i="22"/>
  <c r="J10" i="22"/>
  <c r="G10" i="22"/>
  <c r="D10" i="22"/>
  <c r="J9" i="22"/>
  <c r="G9" i="22"/>
  <c r="D9" i="22"/>
  <c r="J8" i="22"/>
  <c r="G8" i="22"/>
  <c r="D8" i="22"/>
  <c r="J7" i="22"/>
  <c r="G7" i="22"/>
  <c r="D7" i="22"/>
  <c r="J46" i="21"/>
  <c r="G46" i="21"/>
  <c r="D46" i="21"/>
  <c r="J45" i="21"/>
  <c r="G45" i="21"/>
  <c r="D45" i="21"/>
  <c r="J44" i="21"/>
  <c r="G44" i="21"/>
  <c r="D44" i="21"/>
  <c r="J43" i="21"/>
  <c r="G43" i="21"/>
  <c r="D43" i="21"/>
  <c r="J42" i="21"/>
  <c r="G42" i="21"/>
  <c r="D42" i="21"/>
  <c r="J41" i="21"/>
  <c r="G41" i="21"/>
  <c r="D41" i="21"/>
  <c r="J40" i="21"/>
  <c r="G40" i="21"/>
  <c r="D40" i="21"/>
  <c r="J39" i="21"/>
  <c r="G39" i="21"/>
  <c r="D39" i="21"/>
  <c r="J38" i="21"/>
  <c r="G38" i="21"/>
  <c r="D38" i="21"/>
  <c r="J37" i="21"/>
  <c r="G37" i="21"/>
  <c r="D37" i="21"/>
  <c r="J36" i="21"/>
  <c r="G36" i="21"/>
  <c r="D36" i="21"/>
  <c r="J35" i="21"/>
  <c r="G35" i="21"/>
  <c r="D35" i="21"/>
  <c r="J34" i="21"/>
  <c r="G34" i="21"/>
  <c r="D34" i="21"/>
  <c r="J33" i="21"/>
  <c r="G33" i="21"/>
  <c r="D33" i="21"/>
  <c r="J32" i="21"/>
  <c r="G32" i="21"/>
  <c r="D32" i="21"/>
  <c r="J31" i="21"/>
  <c r="G31" i="21"/>
  <c r="D31" i="21"/>
  <c r="J30" i="21"/>
  <c r="G30" i="21"/>
  <c r="D30" i="21"/>
  <c r="J29" i="21"/>
  <c r="G29" i="21"/>
  <c r="D29" i="21"/>
  <c r="J28" i="21"/>
  <c r="G28" i="21"/>
  <c r="D28" i="21"/>
  <c r="J27" i="21"/>
  <c r="G27" i="21"/>
  <c r="D27" i="21"/>
  <c r="J26" i="21"/>
  <c r="G26" i="21"/>
  <c r="D26" i="21"/>
  <c r="J25" i="21"/>
  <c r="G25" i="21"/>
  <c r="D25" i="21"/>
  <c r="J24" i="21"/>
  <c r="G24" i="21"/>
  <c r="D24" i="21"/>
  <c r="J23" i="21"/>
  <c r="G23" i="21"/>
  <c r="D23" i="21"/>
  <c r="J22" i="21"/>
  <c r="G22" i="21"/>
  <c r="D22" i="21"/>
  <c r="J21" i="21"/>
  <c r="G21" i="21"/>
  <c r="D21" i="21"/>
  <c r="J20" i="21"/>
  <c r="G20" i="21"/>
  <c r="D20" i="21"/>
  <c r="J19" i="21"/>
  <c r="G19" i="21"/>
  <c r="D19" i="21"/>
  <c r="J18" i="21"/>
  <c r="G18" i="21"/>
  <c r="D18" i="21"/>
  <c r="J17" i="21"/>
  <c r="G17" i="21"/>
  <c r="D17" i="21"/>
  <c r="J16" i="21"/>
  <c r="G16" i="21"/>
  <c r="D16" i="21"/>
  <c r="J15" i="21"/>
  <c r="G15" i="21"/>
  <c r="D15" i="21"/>
  <c r="J14" i="21"/>
  <c r="G14" i="21"/>
  <c r="D14" i="21"/>
  <c r="J13" i="21"/>
  <c r="G13" i="21"/>
  <c r="D13" i="21"/>
  <c r="J12" i="21"/>
  <c r="G12" i="21"/>
  <c r="D12" i="21"/>
  <c r="J11" i="21"/>
  <c r="G11" i="21"/>
  <c r="D11" i="21"/>
  <c r="J10" i="21"/>
  <c r="G10" i="21"/>
  <c r="D10" i="21"/>
  <c r="J9" i="21"/>
  <c r="G9" i="21"/>
  <c r="D9" i="21"/>
  <c r="J8" i="21"/>
  <c r="G8" i="21"/>
  <c r="D8" i="21"/>
  <c r="J46" i="20"/>
  <c r="G46" i="20"/>
  <c r="D46" i="20"/>
  <c r="J45" i="20"/>
  <c r="G45" i="20"/>
  <c r="D45" i="20"/>
  <c r="J44" i="20"/>
  <c r="G44" i="20"/>
  <c r="D44" i="20"/>
  <c r="J43" i="20"/>
  <c r="G43" i="20"/>
  <c r="D43" i="20"/>
  <c r="J42" i="20"/>
  <c r="G42" i="20"/>
  <c r="D42" i="20"/>
  <c r="J41" i="20"/>
  <c r="G41" i="20"/>
  <c r="D41" i="20"/>
  <c r="J40" i="20"/>
  <c r="G40" i="20"/>
  <c r="D40" i="20"/>
  <c r="J39" i="20"/>
  <c r="G39" i="20"/>
  <c r="D39" i="20"/>
  <c r="J38" i="20"/>
  <c r="G38" i="20"/>
  <c r="D38" i="20"/>
  <c r="J37" i="20"/>
  <c r="G37" i="20"/>
  <c r="D37" i="20"/>
  <c r="J36" i="20"/>
  <c r="G36" i="20"/>
  <c r="D36" i="20"/>
  <c r="J35" i="20"/>
  <c r="G35" i="20"/>
  <c r="D35" i="20"/>
  <c r="J34" i="20"/>
  <c r="G34" i="20"/>
  <c r="D34" i="20"/>
  <c r="J33" i="20"/>
  <c r="G33" i="20"/>
  <c r="D33" i="20"/>
  <c r="J32" i="20"/>
  <c r="G32" i="20"/>
  <c r="D32" i="20"/>
  <c r="J31" i="20"/>
  <c r="G31" i="20"/>
  <c r="D31" i="20"/>
  <c r="J30" i="20"/>
  <c r="G30" i="20"/>
  <c r="D30" i="20"/>
  <c r="J29" i="20"/>
  <c r="G29" i="20"/>
  <c r="D29" i="20"/>
  <c r="J28" i="20"/>
  <c r="G28" i="20"/>
  <c r="D28" i="20"/>
  <c r="J27" i="20"/>
  <c r="G27" i="20"/>
  <c r="D27" i="20"/>
  <c r="J26" i="20"/>
  <c r="G26" i="20"/>
  <c r="D26" i="20"/>
  <c r="J25" i="20"/>
  <c r="G25" i="20"/>
  <c r="D25" i="20"/>
  <c r="J24" i="20"/>
  <c r="G24" i="20"/>
  <c r="D24" i="20"/>
  <c r="J23" i="20"/>
  <c r="G23" i="20"/>
  <c r="D23" i="20"/>
  <c r="J22" i="20"/>
  <c r="G22" i="20"/>
  <c r="D22" i="20"/>
  <c r="J21" i="20"/>
  <c r="G21" i="20"/>
  <c r="D21" i="20"/>
  <c r="J20" i="20"/>
  <c r="G20" i="20"/>
  <c r="D20" i="20"/>
  <c r="J19" i="20"/>
  <c r="G19" i="20"/>
  <c r="D19" i="20"/>
  <c r="J18" i="20"/>
  <c r="G18" i="20"/>
  <c r="D18" i="20"/>
  <c r="J17" i="20"/>
  <c r="G17" i="20"/>
  <c r="D17" i="20"/>
  <c r="J16" i="20"/>
  <c r="G16" i="20"/>
  <c r="D16" i="20"/>
  <c r="J15" i="20"/>
  <c r="G15" i="20"/>
  <c r="D15" i="20"/>
  <c r="J14" i="20"/>
  <c r="G14" i="20"/>
  <c r="D14" i="20"/>
  <c r="J13" i="20"/>
  <c r="G13" i="20"/>
  <c r="D13" i="20"/>
  <c r="J12" i="20"/>
  <c r="G12" i="20"/>
  <c r="D12" i="20"/>
  <c r="J11" i="20"/>
  <c r="G11" i="20"/>
  <c r="D11" i="20"/>
  <c r="J10" i="20"/>
  <c r="G10" i="20"/>
  <c r="D10" i="20"/>
  <c r="J9" i="20"/>
  <c r="G9" i="20"/>
  <c r="D9" i="20"/>
  <c r="J8" i="20"/>
  <c r="G8" i="20"/>
  <c r="D8" i="20"/>
  <c r="J46" i="19"/>
  <c r="G46" i="19"/>
  <c r="D46" i="19"/>
  <c r="J45" i="19"/>
  <c r="G45" i="19"/>
  <c r="D45" i="19"/>
  <c r="J44" i="19"/>
  <c r="G44" i="19"/>
  <c r="D44" i="19"/>
  <c r="J43" i="19"/>
  <c r="G43" i="19"/>
  <c r="D43" i="19"/>
  <c r="J42" i="19"/>
  <c r="G42" i="19"/>
  <c r="D42" i="19"/>
  <c r="J41" i="19"/>
  <c r="G41" i="19"/>
  <c r="D41" i="19"/>
  <c r="J40" i="19"/>
  <c r="G40" i="19"/>
  <c r="D40" i="19"/>
  <c r="J39" i="19"/>
  <c r="G39" i="19"/>
  <c r="D39" i="19"/>
  <c r="J38" i="19"/>
  <c r="G38" i="19"/>
  <c r="D38" i="19"/>
  <c r="J37" i="19"/>
  <c r="G37" i="19"/>
  <c r="D37" i="19"/>
  <c r="J36" i="19"/>
  <c r="G36" i="19"/>
  <c r="D36" i="19"/>
  <c r="J35" i="19"/>
  <c r="G35" i="19"/>
  <c r="D35" i="19"/>
  <c r="J34" i="19"/>
  <c r="G34" i="19"/>
  <c r="D34" i="19"/>
  <c r="J33" i="19"/>
  <c r="G33" i="19"/>
  <c r="D33" i="19"/>
  <c r="J32" i="19"/>
  <c r="G32" i="19"/>
  <c r="D32" i="19"/>
  <c r="J31" i="19"/>
  <c r="G31" i="19"/>
  <c r="D31" i="19"/>
  <c r="J30" i="19"/>
  <c r="G30" i="19"/>
  <c r="D30" i="19"/>
  <c r="J29" i="19"/>
  <c r="G29" i="19"/>
  <c r="D29" i="19"/>
  <c r="J28" i="19"/>
  <c r="G28" i="19"/>
  <c r="D28" i="19"/>
  <c r="J27" i="19"/>
  <c r="G27" i="19"/>
  <c r="D27" i="19"/>
  <c r="J26" i="19"/>
  <c r="G26" i="19"/>
  <c r="D26" i="19"/>
  <c r="J25" i="19"/>
  <c r="G25" i="19"/>
  <c r="D25" i="19"/>
  <c r="J24" i="19"/>
  <c r="G24" i="19"/>
  <c r="D24" i="19"/>
  <c r="J23" i="19"/>
  <c r="G23" i="19"/>
  <c r="D23" i="19"/>
  <c r="J22" i="19"/>
  <c r="G22" i="19"/>
  <c r="D22" i="19"/>
  <c r="J21" i="19"/>
  <c r="G21" i="19"/>
  <c r="D21" i="19"/>
  <c r="J20" i="19"/>
  <c r="G20" i="19"/>
  <c r="D20" i="19"/>
  <c r="J19" i="19"/>
  <c r="G19" i="19"/>
  <c r="D19" i="19"/>
  <c r="J18" i="19"/>
  <c r="G18" i="19"/>
  <c r="D18" i="19"/>
  <c r="J17" i="19"/>
  <c r="G17" i="19"/>
  <c r="D17" i="19"/>
  <c r="J16" i="19"/>
  <c r="G16" i="19"/>
  <c r="D16" i="19"/>
  <c r="J15" i="19"/>
  <c r="G15" i="19"/>
  <c r="D15" i="19"/>
  <c r="J14" i="19"/>
  <c r="G14" i="19"/>
  <c r="D14" i="19"/>
  <c r="J13" i="19"/>
  <c r="G13" i="19"/>
  <c r="D13" i="19"/>
  <c r="J12" i="19"/>
  <c r="G12" i="19"/>
  <c r="D12" i="19"/>
  <c r="J11" i="19"/>
  <c r="G11" i="19"/>
  <c r="D11" i="19"/>
  <c r="J10" i="19"/>
  <c r="G10" i="19"/>
  <c r="D10" i="19"/>
  <c r="J9" i="19"/>
  <c r="G9" i="19"/>
  <c r="D9" i="19"/>
  <c r="J8" i="19"/>
  <c r="G8" i="19"/>
  <c r="D8" i="19"/>
  <c r="J46" i="18" l="1"/>
  <c r="G46" i="18"/>
  <c r="D46" i="18"/>
  <c r="J45" i="18"/>
  <c r="G45" i="18"/>
  <c r="D45" i="18"/>
  <c r="J44" i="18"/>
  <c r="G44" i="18"/>
  <c r="D44" i="18"/>
  <c r="J43" i="18"/>
  <c r="G43" i="18"/>
  <c r="D43" i="18"/>
  <c r="J42" i="18"/>
  <c r="G42" i="18"/>
  <c r="D42" i="18"/>
  <c r="J41" i="18"/>
  <c r="G41" i="18"/>
  <c r="D41" i="18"/>
  <c r="J40" i="18"/>
  <c r="G40" i="18"/>
  <c r="D40" i="18"/>
  <c r="J39" i="18"/>
  <c r="G39" i="18"/>
  <c r="D39" i="18"/>
  <c r="J38" i="18"/>
  <c r="G38" i="18"/>
  <c r="D38" i="18"/>
  <c r="J37" i="18"/>
  <c r="G37" i="18"/>
  <c r="D37" i="18"/>
  <c r="J36" i="18"/>
  <c r="G36" i="18"/>
  <c r="D36" i="18"/>
  <c r="J35" i="18"/>
  <c r="G35" i="18"/>
  <c r="D35" i="18"/>
  <c r="J34" i="18"/>
  <c r="G34" i="18"/>
  <c r="D34" i="18"/>
  <c r="J33" i="18"/>
  <c r="G33" i="18"/>
  <c r="D33" i="18"/>
  <c r="J32" i="18"/>
  <c r="G32" i="18"/>
  <c r="D32" i="18"/>
  <c r="J31" i="18"/>
  <c r="G31" i="18"/>
  <c r="D31" i="18"/>
  <c r="J30" i="18"/>
  <c r="G30" i="18"/>
  <c r="D30" i="18"/>
  <c r="J29" i="18"/>
  <c r="G29" i="18"/>
  <c r="D29" i="18"/>
  <c r="J28" i="18"/>
  <c r="G28" i="18"/>
  <c r="D28" i="18"/>
  <c r="J27" i="18"/>
  <c r="G27" i="18"/>
  <c r="D27" i="18"/>
  <c r="J26" i="18"/>
  <c r="G26" i="18"/>
  <c r="D26" i="18"/>
  <c r="J25" i="18"/>
  <c r="G25" i="18"/>
  <c r="D25" i="18"/>
  <c r="J24" i="18"/>
  <c r="G24" i="18"/>
  <c r="D24" i="18"/>
  <c r="J23" i="18"/>
  <c r="G23" i="18"/>
  <c r="D23" i="18"/>
  <c r="J22" i="18"/>
  <c r="G22" i="18"/>
  <c r="D22" i="18"/>
  <c r="J21" i="18"/>
  <c r="G21" i="18"/>
  <c r="D21" i="18"/>
  <c r="J20" i="18"/>
  <c r="G20" i="18"/>
  <c r="D20" i="18"/>
  <c r="J19" i="18"/>
  <c r="G19" i="18"/>
  <c r="D19" i="18"/>
  <c r="J18" i="18"/>
  <c r="G18" i="18"/>
  <c r="D18" i="18"/>
  <c r="J17" i="18"/>
  <c r="G17" i="18"/>
  <c r="D17" i="18"/>
  <c r="J16" i="18"/>
  <c r="G16" i="18"/>
  <c r="D16" i="18"/>
  <c r="J15" i="18"/>
  <c r="G15" i="18"/>
  <c r="D15" i="18"/>
  <c r="J14" i="18"/>
  <c r="G14" i="18"/>
  <c r="D14" i="18"/>
  <c r="J13" i="18"/>
  <c r="G13" i="18"/>
  <c r="D13" i="18"/>
  <c r="J12" i="18"/>
  <c r="G12" i="18"/>
  <c r="D12" i="18"/>
  <c r="J11" i="18"/>
  <c r="G11" i="18"/>
  <c r="D11" i="18"/>
  <c r="J10" i="18"/>
  <c r="G10" i="18"/>
  <c r="D10" i="18"/>
  <c r="J9" i="18"/>
  <c r="G9" i="18"/>
  <c r="D9" i="18"/>
  <c r="J8" i="18"/>
  <c r="G8" i="18"/>
  <c r="D8" i="18"/>
  <c r="J46" i="17"/>
  <c r="G46" i="17"/>
  <c r="D46" i="17"/>
  <c r="J45" i="17"/>
  <c r="G45" i="17"/>
  <c r="D45" i="17"/>
  <c r="J44" i="17"/>
  <c r="G44" i="17"/>
  <c r="D44" i="17"/>
  <c r="J43" i="17"/>
  <c r="G43" i="17"/>
  <c r="D43" i="17"/>
  <c r="J42" i="17"/>
  <c r="G42" i="17"/>
  <c r="D42" i="17"/>
  <c r="J41" i="17"/>
  <c r="G41" i="17"/>
  <c r="D41" i="17"/>
  <c r="J40" i="17"/>
  <c r="G40" i="17"/>
  <c r="D40" i="17"/>
  <c r="J39" i="17"/>
  <c r="G39" i="17"/>
  <c r="D39" i="17"/>
  <c r="J38" i="17"/>
  <c r="G38" i="17"/>
  <c r="D38" i="17"/>
  <c r="J37" i="17"/>
  <c r="G37" i="17"/>
  <c r="D37" i="17"/>
  <c r="J36" i="17"/>
  <c r="G36" i="17"/>
  <c r="D36" i="17"/>
  <c r="J35" i="17"/>
  <c r="G35" i="17"/>
  <c r="D35" i="17"/>
  <c r="J34" i="17"/>
  <c r="G34" i="17"/>
  <c r="D34" i="17"/>
  <c r="J33" i="17"/>
  <c r="G33" i="17"/>
  <c r="D33" i="17"/>
  <c r="J32" i="17"/>
  <c r="G32" i="17"/>
  <c r="D32" i="17"/>
  <c r="J31" i="17"/>
  <c r="G31" i="17"/>
  <c r="D31" i="17"/>
  <c r="J30" i="17"/>
  <c r="G30" i="17"/>
  <c r="D30" i="17"/>
  <c r="J29" i="17"/>
  <c r="G29" i="17"/>
  <c r="D29" i="17"/>
  <c r="J28" i="17"/>
  <c r="G28" i="17"/>
  <c r="D28" i="17"/>
  <c r="J27" i="17"/>
  <c r="G27" i="17"/>
  <c r="D27" i="17"/>
  <c r="J26" i="17"/>
  <c r="G26" i="17"/>
  <c r="D26" i="17"/>
  <c r="J25" i="17"/>
  <c r="G25" i="17"/>
  <c r="D25" i="17"/>
  <c r="J24" i="17"/>
  <c r="G24" i="17"/>
  <c r="D24" i="17"/>
  <c r="J23" i="17"/>
  <c r="G23" i="17"/>
  <c r="D23" i="17"/>
  <c r="J22" i="17"/>
  <c r="G22" i="17"/>
  <c r="D22" i="17"/>
  <c r="J21" i="17"/>
  <c r="G21" i="17"/>
  <c r="D21" i="17"/>
  <c r="J20" i="17"/>
  <c r="G20" i="17"/>
  <c r="D20" i="17"/>
  <c r="J19" i="17"/>
  <c r="G19" i="17"/>
  <c r="D19" i="17"/>
  <c r="J18" i="17"/>
  <c r="G18" i="17"/>
  <c r="D18" i="17"/>
  <c r="J17" i="17"/>
  <c r="G17" i="17"/>
  <c r="D17" i="17"/>
  <c r="J16" i="17"/>
  <c r="G16" i="17"/>
  <c r="D16" i="17"/>
  <c r="J15" i="17"/>
  <c r="G15" i="17"/>
  <c r="D15" i="17"/>
  <c r="J14" i="17"/>
  <c r="G14" i="17"/>
  <c r="D14" i="17"/>
  <c r="J13" i="17"/>
  <c r="G13" i="17"/>
  <c r="D13" i="17"/>
  <c r="J12" i="17"/>
  <c r="G12" i="17"/>
  <c r="D12" i="17"/>
  <c r="J11" i="17"/>
  <c r="G11" i="17"/>
  <c r="D11" i="17"/>
  <c r="J10" i="17"/>
  <c r="G10" i="17"/>
  <c r="D10" i="17"/>
  <c r="J9" i="17"/>
  <c r="G9" i="17"/>
  <c r="D9" i="17"/>
  <c r="J8" i="17"/>
  <c r="G8" i="17"/>
  <c r="D8" i="17"/>
  <c r="J35" i="15"/>
  <c r="G35" i="15"/>
  <c r="D35" i="15"/>
  <c r="J33" i="15"/>
  <c r="G33" i="15"/>
  <c r="D33" i="15"/>
  <c r="J32" i="15"/>
  <c r="G32" i="15"/>
  <c r="D32" i="15"/>
  <c r="J26" i="15"/>
  <c r="G26" i="15"/>
  <c r="D26" i="15"/>
  <c r="J19" i="15"/>
  <c r="G19" i="15"/>
  <c r="D19" i="15"/>
  <c r="J18" i="15"/>
  <c r="G18" i="15"/>
  <c r="D18" i="15"/>
  <c r="J13" i="15"/>
  <c r="G13" i="15"/>
  <c r="D13" i="15"/>
  <c r="J10" i="15"/>
  <c r="G10" i="15"/>
  <c r="D10" i="15"/>
  <c r="J45" i="15"/>
  <c r="G45" i="15"/>
  <c r="D45" i="15"/>
  <c r="J43" i="15"/>
  <c r="G43" i="15"/>
  <c r="D43" i="15"/>
  <c r="J40" i="15"/>
  <c r="G40" i="15"/>
  <c r="D40" i="15"/>
  <c r="J27" i="15"/>
  <c r="G27" i="15"/>
  <c r="D27" i="15"/>
  <c r="J25" i="15"/>
  <c r="G25" i="15"/>
  <c r="D25" i="15"/>
  <c r="J17" i="15"/>
  <c r="G17" i="15"/>
  <c r="D17" i="15"/>
  <c r="J9" i="15"/>
  <c r="G9" i="15"/>
  <c r="D9" i="15"/>
  <c r="J8" i="15"/>
  <c r="G8" i="15"/>
  <c r="D8" i="15"/>
  <c r="J44" i="15"/>
  <c r="G44" i="15"/>
  <c r="D44" i="15"/>
  <c r="J39" i="15"/>
  <c r="G39" i="15"/>
  <c r="D39" i="15"/>
  <c r="J38" i="15"/>
  <c r="G38" i="15"/>
  <c r="D38" i="15"/>
  <c r="J37" i="15"/>
  <c r="G37" i="15"/>
  <c r="D37" i="15"/>
  <c r="J36" i="15"/>
  <c r="G36" i="15"/>
  <c r="D36" i="15"/>
  <c r="J29" i="15"/>
  <c r="G29" i="15"/>
  <c r="D29" i="15"/>
  <c r="J23" i="15"/>
  <c r="G23" i="15"/>
  <c r="D23" i="15"/>
  <c r="J21" i="15"/>
  <c r="G21" i="15"/>
  <c r="D21" i="15"/>
  <c r="J20" i="15"/>
  <c r="G20" i="15"/>
  <c r="D20" i="15"/>
  <c r="J15" i="15"/>
  <c r="G15" i="15"/>
  <c r="D15" i="15"/>
  <c r="J14" i="15"/>
  <c r="G14" i="15"/>
  <c r="D14" i="15"/>
  <c r="J11" i="15"/>
  <c r="G11" i="15"/>
  <c r="D11" i="15"/>
  <c r="J46" i="15"/>
  <c r="G46" i="15"/>
  <c r="D46" i="15"/>
  <c r="J42" i="15"/>
  <c r="G42" i="15"/>
  <c r="D42" i="15"/>
  <c r="J41" i="15"/>
  <c r="G41" i="15"/>
  <c r="D41" i="15"/>
  <c r="J34" i="15"/>
  <c r="G34" i="15"/>
  <c r="D34" i="15"/>
  <c r="J31" i="15"/>
  <c r="G31" i="15"/>
  <c r="D31" i="15"/>
  <c r="J30" i="15"/>
  <c r="G30" i="15"/>
  <c r="D30" i="15"/>
  <c r="J28" i="15"/>
  <c r="G28" i="15"/>
  <c r="D28" i="15"/>
  <c r="J24" i="15"/>
  <c r="G24" i="15"/>
  <c r="D24" i="15"/>
  <c r="J22" i="15"/>
  <c r="G22" i="15"/>
  <c r="D22" i="15"/>
  <c r="J16" i="15"/>
  <c r="G16" i="15"/>
  <c r="D16" i="15"/>
  <c r="J12" i="15"/>
  <c r="G12" i="15"/>
  <c r="D12" i="15"/>
  <c r="O45" i="14"/>
  <c r="L45" i="14"/>
  <c r="I45" i="14"/>
  <c r="F45" i="14"/>
  <c r="O44" i="14"/>
  <c r="L44" i="14"/>
  <c r="I44" i="14"/>
  <c r="F44" i="14"/>
  <c r="O43" i="14"/>
  <c r="L43" i="14"/>
  <c r="I43" i="14"/>
  <c r="F43" i="14"/>
  <c r="O42" i="14"/>
  <c r="L42" i="14"/>
  <c r="I42" i="14"/>
  <c r="F42" i="14"/>
  <c r="O41" i="14"/>
  <c r="L41" i="14"/>
  <c r="I41" i="14"/>
  <c r="F41" i="14"/>
  <c r="O40" i="14"/>
  <c r="L40" i="14"/>
  <c r="I40" i="14"/>
  <c r="F40" i="14"/>
  <c r="O39" i="14"/>
  <c r="L39" i="14"/>
  <c r="I39" i="14"/>
  <c r="F39" i="14"/>
  <c r="O38" i="14"/>
  <c r="L38" i="14"/>
  <c r="I38" i="14"/>
  <c r="F38" i="14"/>
  <c r="O37" i="14"/>
  <c r="L37" i="14"/>
  <c r="I37" i="14"/>
  <c r="F37" i="14"/>
  <c r="O36" i="14"/>
  <c r="L36" i="14"/>
  <c r="I36" i="14"/>
  <c r="F36" i="14"/>
  <c r="O35" i="14"/>
  <c r="L35" i="14"/>
  <c r="I35" i="14"/>
  <c r="F35" i="14"/>
  <c r="O34" i="14"/>
  <c r="L34" i="14"/>
  <c r="I34" i="14"/>
  <c r="F34" i="14"/>
  <c r="O33" i="14"/>
  <c r="L33" i="14"/>
  <c r="I33" i="14"/>
  <c r="F33" i="14"/>
  <c r="O32" i="14"/>
  <c r="L32" i="14"/>
  <c r="I32" i="14"/>
  <c r="F32" i="14"/>
  <c r="O31" i="14"/>
  <c r="L31" i="14"/>
  <c r="I31" i="14"/>
  <c r="F31" i="14"/>
  <c r="O30" i="14"/>
  <c r="L30" i="14"/>
  <c r="I30" i="14"/>
  <c r="F30" i="14"/>
  <c r="O29" i="14"/>
  <c r="L29" i="14"/>
  <c r="I29" i="14"/>
  <c r="F29" i="14"/>
  <c r="O28" i="14"/>
  <c r="L28" i="14"/>
  <c r="I28" i="14"/>
  <c r="F28" i="14"/>
  <c r="O27" i="14"/>
  <c r="L27" i="14"/>
  <c r="I27" i="14"/>
  <c r="F27" i="14"/>
  <c r="O26" i="14"/>
  <c r="L26" i="14"/>
  <c r="I26" i="14"/>
  <c r="F26" i="14"/>
  <c r="O25" i="14"/>
  <c r="L25" i="14"/>
  <c r="I25" i="14"/>
  <c r="F25" i="14"/>
  <c r="O24" i="14"/>
  <c r="L24" i="14"/>
  <c r="I24" i="14"/>
  <c r="F24" i="14"/>
  <c r="O23" i="14"/>
  <c r="L23" i="14"/>
  <c r="I23" i="14"/>
  <c r="F23" i="14"/>
  <c r="O22" i="14"/>
  <c r="L22" i="14"/>
  <c r="I22" i="14"/>
  <c r="F22" i="14"/>
  <c r="O21" i="14"/>
  <c r="L21" i="14"/>
  <c r="I21" i="14"/>
  <c r="F21" i="14"/>
  <c r="O20" i="14"/>
  <c r="L20" i="14"/>
  <c r="I20" i="14"/>
  <c r="F20" i="14"/>
  <c r="O19" i="14"/>
  <c r="L19" i="14"/>
  <c r="I19" i="14"/>
  <c r="F19" i="14"/>
  <c r="O18" i="14"/>
  <c r="L18" i="14"/>
  <c r="I18" i="14"/>
  <c r="F18" i="14"/>
  <c r="O17" i="14"/>
  <c r="L17" i="14"/>
  <c r="I17" i="14"/>
  <c r="F17" i="14"/>
  <c r="O16" i="14"/>
  <c r="L16" i="14"/>
  <c r="I16" i="14"/>
  <c r="F16" i="14"/>
  <c r="O15" i="14"/>
  <c r="L15" i="14"/>
  <c r="I15" i="14"/>
  <c r="F15" i="14"/>
  <c r="O14" i="14"/>
  <c r="L14" i="14"/>
  <c r="I14" i="14"/>
  <c r="F14" i="14"/>
  <c r="O13" i="14"/>
  <c r="L13" i="14"/>
  <c r="I13" i="14"/>
  <c r="F13" i="14"/>
  <c r="O12" i="14"/>
  <c r="L12" i="14"/>
  <c r="I12" i="14"/>
  <c r="F12" i="14"/>
  <c r="O11" i="14"/>
  <c r="L11" i="14"/>
  <c r="I11" i="14"/>
  <c r="F11" i="14"/>
  <c r="O10" i="14"/>
  <c r="L10" i="14"/>
  <c r="I10" i="14"/>
  <c r="F10" i="14"/>
  <c r="O9" i="14"/>
  <c r="L9" i="14"/>
  <c r="I9" i="14"/>
  <c r="F9" i="14"/>
  <c r="O8" i="14"/>
  <c r="L8" i="14"/>
  <c r="I8" i="14"/>
  <c r="F8" i="14"/>
  <c r="O7" i="14"/>
  <c r="L7" i="14"/>
  <c r="I7" i="14"/>
  <c r="F7" i="14"/>
  <c r="F10" i="13"/>
  <c r="F9" i="13"/>
  <c r="O45" i="13" l="1"/>
  <c r="L45" i="13"/>
  <c r="I45" i="13"/>
  <c r="F45" i="13"/>
  <c r="O44" i="13"/>
  <c r="L44" i="13"/>
  <c r="I44" i="13"/>
  <c r="F44" i="13"/>
  <c r="O43" i="13"/>
  <c r="L43" i="13"/>
  <c r="I43" i="13"/>
  <c r="F43" i="13"/>
  <c r="O42" i="13"/>
  <c r="L42" i="13"/>
  <c r="I42" i="13"/>
  <c r="F42" i="13"/>
  <c r="O41" i="13"/>
  <c r="L41" i="13"/>
  <c r="I41" i="13"/>
  <c r="F41" i="13"/>
  <c r="O40" i="13"/>
  <c r="L40" i="13"/>
  <c r="I40" i="13"/>
  <c r="F40" i="13"/>
  <c r="O39" i="13"/>
  <c r="L39" i="13"/>
  <c r="I39" i="13"/>
  <c r="F39" i="13"/>
  <c r="O38" i="13"/>
  <c r="L38" i="13"/>
  <c r="I38" i="13"/>
  <c r="F38" i="13"/>
  <c r="O37" i="13"/>
  <c r="L37" i="13"/>
  <c r="I37" i="13"/>
  <c r="F37" i="13"/>
  <c r="O36" i="13"/>
  <c r="L36" i="13"/>
  <c r="I36" i="13"/>
  <c r="F36" i="13"/>
  <c r="O35" i="13"/>
  <c r="L35" i="13"/>
  <c r="I35" i="13"/>
  <c r="F35" i="13"/>
  <c r="O34" i="13"/>
  <c r="L34" i="13"/>
  <c r="I34" i="13"/>
  <c r="F34" i="13"/>
  <c r="O33" i="13"/>
  <c r="L33" i="13"/>
  <c r="I33" i="13"/>
  <c r="F33" i="13"/>
  <c r="O32" i="13"/>
  <c r="L32" i="13"/>
  <c r="I32" i="13"/>
  <c r="F32" i="13"/>
  <c r="O31" i="13"/>
  <c r="L31" i="13"/>
  <c r="I31" i="13"/>
  <c r="F31" i="13"/>
  <c r="O30" i="13"/>
  <c r="L30" i="13"/>
  <c r="I30" i="13"/>
  <c r="F30" i="13"/>
  <c r="O29" i="13"/>
  <c r="L29" i="13"/>
  <c r="I29" i="13"/>
  <c r="F29" i="13"/>
  <c r="O28" i="13"/>
  <c r="L28" i="13"/>
  <c r="I28" i="13"/>
  <c r="F28" i="13"/>
  <c r="O27" i="13"/>
  <c r="L27" i="13"/>
  <c r="I27" i="13"/>
  <c r="F27" i="13"/>
  <c r="O26" i="13"/>
  <c r="L26" i="13"/>
  <c r="I26" i="13"/>
  <c r="F26" i="13"/>
  <c r="O25" i="13"/>
  <c r="L25" i="13"/>
  <c r="I25" i="13"/>
  <c r="F25" i="13"/>
  <c r="O24" i="13"/>
  <c r="L24" i="13"/>
  <c r="I24" i="13"/>
  <c r="F24" i="13"/>
  <c r="O23" i="13"/>
  <c r="L23" i="13"/>
  <c r="I23" i="13"/>
  <c r="F23" i="13"/>
  <c r="O22" i="13"/>
  <c r="L22" i="13"/>
  <c r="I22" i="13"/>
  <c r="F22" i="13"/>
  <c r="O21" i="13"/>
  <c r="L21" i="13"/>
  <c r="I21" i="13"/>
  <c r="F21" i="13"/>
  <c r="O20" i="13"/>
  <c r="L20" i="13"/>
  <c r="I20" i="13"/>
  <c r="F20" i="13"/>
  <c r="O19" i="13"/>
  <c r="L19" i="13"/>
  <c r="I19" i="13"/>
  <c r="F19" i="13"/>
  <c r="O18" i="13"/>
  <c r="L18" i="13"/>
  <c r="I18" i="13"/>
  <c r="F18" i="13"/>
  <c r="O17" i="13"/>
  <c r="L17" i="13"/>
  <c r="I17" i="13"/>
  <c r="F17" i="13"/>
  <c r="O16" i="13"/>
  <c r="L16" i="13"/>
  <c r="I16" i="13"/>
  <c r="F16" i="13"/>
  <c r="O15" i="13"/>
  <c r="L15" i="13"/>
  <c r="I15" i="13"/>
  <c r="F15" i="13"/>
  <c r="O14" i="13"/>
  <c r="L14" i="13"/>
  <c r="I14" i="13"/>
  <c r="F14" i="13"/>
  <c r="O13" i="13"/>
  <c r="L13" i="13"/>
  <c r="I13" i="13"/>
  <c r="F13" i="13"/>
  <c r="O12" i="13"/>
  <c r="L12" i="13"/>
  <c r="I12" i="13"/>
  <c r="F12" i="13"/>
  <c r="O11" i="13"/>
  <c r="L11" i="13"/>
  <c r="I11" i="13"/>
  <c r="F11" i="13"/>
  <c r="O10" i="13"/>
  <c r="L10" i="13"/>
  <c r="I10" i="13"/>
  <c r="O9" i="13"/>
  <c r="L9" i="13"/>
  <c r="I9" i="13"/>
  <c r="O8" i="13"/>
  <c r="L8" i="13"/>
  <c r="I8" i="13"/>
  <c r="F8" i="13"/>
  <c r="O7" i="13"/>
  <c r="L7" i="13"/>
  <c r="I7" i="13"/>
  <c r="F7" i="13"/>
  <c r="O45" i="12"/>
  <c r="L45" i="12"/>
  <c r="I45" i="12"/>
  <c r="F45" i="12"/>
  <c r="O44" i="12"/>
  <c r="L44" i="12"/>
  <c r="I44" i="12"/>
  <c r="F44" i="12"/>
  <c r="O43" i="12"/>
  <c r="L43" i="12"/>
  <c r="I43" i="12"/>
  <c r="F43" i="12"/>
  <c r="O42" i="12"/>
  <c r="L42" i="12"/>
  <c r="I42" i="12"/>
  <c r="F42" i="12"/>
  <c r="O41" i="12"/>
  <c r="L41" i="12"/>
  <c r="I41" i="12"/>
  <c r="F41" i="12"/>
  <c r="O40" i="12"/>
  <c r="L40" i="12"/>
  <c r="I40" i="12"/>
  <c r="F40" i="12"/>
  <c r="O39" i="12"/>
  <c r="L39" i="12"/>
  <c r="I39" i="12"/>
  <c r="F39" i="12"/>
  <c r="O38" i="12"/>
  <c r="L38" i="12"/>
  <c r="I38" i="12"/>
  <c r="F38" i="12"/>
  <c r="O37" i="12"/>
  <c r="L37" i="12"/>
  <c r="I37" i="12"/>
  <c r="F37" i="12"/>
  <c r="O36" i="12"/>
  <c r="L36" i="12"/>
  <c r="I36" i="12"/>
  <c r="F36" i="12"/>
  <c r="O35" i="12"/>
  <c r="L35" i="12"/>
  <c r="I35" i="12"/>
  <c r="F35" i="12"/>
  <c r="O34" i="12"/>
  <c r="L34" i="12"/>
  <c r="I34" i="12"/>
  <c r="F34" i="12"/>
  <c r="O33" i="12"/>
  <c r="L33" i="12"/>
  <c r="I33" i="12"/>
  <c r="F33" i="12"/>
  <c r="O32" i="12"/>
  <c r="L32" i="12"/>
  <c r="I32" i="12"/>
  <c r="F32" i="12"/>
  <c r="O31" i="12"/>
  <c r="L31" i="12"/>
  <c r="I31" i="12"/>
  <c r="F31" i="12"/>
  <c r="O30" i="12"/>
  <c r="L30" i="12"/>
  <c r="I30" i="12"/>
  <c r="F30" i="12"/>
  <c r="O29" i="12"/>
  <c r="L29" i="12"/>
  <c r="I29" i="12"/>
  <c r="F29" i="12"/>
  <c r="O28" i="12"/>
  <c r="L28" i="12"/>
  <c r="I28" i="12"/>
  <c r="F28" i="12"/>
  <c r="O27" i="12"/>
  <c r="L27" i="12"/>
  <c r="I27" i="12"/>
  <c r="F27" i="12"/>
  <c r="O26" i="12"/>
  <c r="L26" i="12"/>
  <c r="I26" i="12"/>
  <c r="F26" i="12"/>
  <c r="O25" i="12"/>
  <c r="L25" i="12"/>
  <c r="I25" i="12"/>
  <c r="F25" i="12"/>
  <c r="O24" i="12"/>
  <c r="L24" i="12"/>
  <c r="I24" i="12"/>
  <c r="F24" i="12"/>
  <c r="O23" i="12"/>
  <c r="L23" i="12"/>
  <c r="I23" i="12"/>
  <c r="F23" i="12"/>
  <c r="O22" i="12"/>
  <c r="L22" i="12"/>
  <c r="I22" i="12"/>
  <c r="F22" i="12"/>
  <c r="O21" i="12"/>
  <c r="L21" i="12"/>
  <c r="I21" i="12"/>
  <c r="F21" i="12"/>
  <c r="O20" i="12"/>
  <c r="L20" i="12"/>
  <c r="I20" i="12"/>
  <c r="F20" i="12"/>
  <c r="O19" i="12"/>
  <c r="L19" i="12"/>
  <c r="I19" i="12"/>
  <c r="F19" i="12"/>
  <c r="O18" i="12"/>
  <c r="L18" i="12"/>
  <c r="I18" i="12"/>
  <c r="F18" i="12"/>
  <c r="O17" i="12"/>
  <c r="L17" i="12"/>
  <c r="I17" i="12"/>
  <c r="F17" i="12"/>
  <c r="O16" i="12"/>
  <c r="L16" i="12"/>
  <c r="I16" i="12"/>
  <c r="F16" i="12"/>
  <c r="O15" i="12"/>
  <c r="L15" i="12"/>
  <c r="I15" i="12"/>
  <c r="F15" i="12"/>
  <c r="O14" i="12"/>
  <c r="L14" i="12"/>
  <c r="I14" i="12"/>
  <c r="F14" i="12"/>
  <c r="O13" i="12"/>
  <c r="L13" i="12"/>
  <c r="I13" i="12"/>
  <c r="F13" i="12"/>
  <c r="O12" i="12"/>
  <c r="L12" i="12"/>
  <c r="I12" i="12"/>
  <c r="F12" i="12"/>
  <c r="O11" i="12"/>
  <c r="L11" i="12"/>
  <c r="I11" i="12"/>
  <c r="F11" i="12"/>
  <c r="O10" i="12"/>
  <c r="L10" i="12"/>
  <c r="I10" i="12"/>
  <c r="F10" i="12"/>
  <c r="O9" i="12"/>
  <c r="L9" i="12"/>
  <c r="I9" i="12"/>
  <c r="F9" i="12"/>
  <c r="O8" i="12"/>
  <c r="L8" i="12"/>
  <c r="I8" i="12"/>
  <c r="F8" i="12"/>
  <c r="O7" i="12"/>
  <c r="L7" i="12"/>
  <c r="I7" i="12"/>
  <c r="F7" i="12"/>
  <c r="O45" i="11"/>
  <c r="L45" i="11"/>
  <c r="I45" i="11"/>
  <c r="F45" i="11"/>
  <c r="O44" i="11"/>
  <c r="L44" i="11"/>
  <c r="I44" i="11"/>
  <c r="F44" i="11"/>
  <c r="O43" i="11"/>
  <c r="L43" i="11"/>
  <c r="I43" i="11"/>
  <c r="F43" i="11"/>
  <c r="O42" i="11"/>
  <c r="L42" i="11"/>
  <c r="I42" i="11"/>
  <c r="F42" i="11"/>
  <c r="O41" i="11"/>
  <c r="L41" i="11"/>
  <c r="I41" i="11"/>
  <c r="F41" i="11"/>
  <c r="O40" i="11"/>
  <c r="L40" i="11"/>
  <c r="I40" i="11"/>
  <c r="F40" i="11"/>
  <c r="O39" i="11"/>
  <c r="L39" i="11"/>
  <c r="I39" i="11"/>
  <c r="F39" i="11"/>
  <c r="O38" i="11"/>
  <c r="L38" i="11"/>
  <c r="I38" i="11"/>
  <c r="F38" i="11"/>
  <c r="O37" i="11"/>
  <c r="L37" i="11"/>
  <c r="I37" i="11"/>
  <c r="F37" i="11"/>
  <c r="O36" i="11"/>
  <c r="L36" i="11"/>
  <c r="I36" i="11"/>
  <c r="F36" i="11"/>
  <c r="O35" i="11"/>
  <c r="L35" i="11"/>
  <c r="I35" i="11"/>
  <c r="F35" i="11"/>
  <c r="O34" i="11"/>
  <c r="L34" i="11"/>
  <c r="I34" i="11"/>
  <c r="F34" i="11"/>
  <c r="O33" i="11"/>
  <c r="L33" i="11"/>
  <c r="I33" i="11"/>
  <c r="F33" i="11"/>
  <c r="O32" i="11"/>
  <c r="L32" i="11"/>
  <c r="I32" i="11"/>
  <c r="F32" i="11"/>
  <c r="O31" i="11"/>
  <c r="L31" i="11"/>
  <c r="I31" i="11"/>
  <c r="F31" i="11"/>
  <c r="O30" i="11"/>
  <c r="L30" i="11"/>
  <c r="I30" i="11"/>
  <c r="F30" i="11"/>
  <c r="O29" i="11"/>
  <c r="L29" i="11"/>
  <c r="I29" i="11"/>
  <c r="F29" i="11"/>
  <c r="O28" i="11"/>
  <c r="L28" i="11"/>
  <c r="I28" i="11"/>
  <c r="F28" i="11"/>
  <c r="O27" i="11"/>
  <c r="L27" i="11"/>
  <c r="I27" i="11"/>
  <c r="F27" i="11"/>
  <c r="O26" i="11"/>
  <c r="L26" i="11"/>
  <c r="I26" i="11"/>
  <c r="F26" i="11"/>
  <c r="O25" i="11"/>
  <c r="L25" i="11"/>
  <c r="I25" i="11"/>
  <c r="F25" i="11"/>
  <c r="O24" i="11"/>
  <c r="L24" i="11"/>
  <c r="I24" i="11"/>
  <c r="F24" i="11"/>
  <c r="O23" i="11"/>
  <c r="L23" i="11"/>
  <c r="I23" i="11"/>
  <c r="F23" i="11"/>
  <c r="O22" i="11"/>
  <c r="L22" i="11"/>
  <c r="I22" i="11"/>
  <c r="F22" i="11"/>
  <c r="O21" i="11"/>
  <c r="L21" i="11"/>
  <c r="I21" i="11"/>
  <c r="F21" i="11"/>
  <c r="O20" i="11"/>
  <c r="L20" i="11"/>
  <c r="I20" i="11"/>
  <c r="F20" i="11"/>
  <c r="O19" i="11"/>
  <c r="L19" i="11"/>
  <c r="I19" i="11"/>
  <c r="F19" i="11"/>
  <c r="O18" i="11"/>
  <c r="L18" i="11"/>
  <c r="I18" i="11"/>
  <c r="F18" i="11"/>
  <c r="O17" i="11"/>
  <c r="L17" i="11"/>
  <c r="I17" i="11"/>
  <c r="F17" i="11"/>
  <c r="O16" i="11"/>
  <c r="L16" i="11"/>
  <c r="I16" i="11"/>
  <c r="F16" i="11"/>
  <c r="O15" i="11"/>
  <c r="L15" i="11"/>
  <c r="I15" i="11"/>
  <c r="F15" i="11"/>
  <c r="O14" i="11"/>
  <c r="L14" i="11"/>
  <c r="I14" i="11"/>
  <c r="F14" i="11"/>
  <c r="O13" i="11"/>
  <c r="L13" i="11"/>
  <c r="I13" i="11"/>
  <c r="F13" i="11"/>
  <c r="O12" i="11"/>
  <c r="L12" i="11"/>
  <c r="I12" i="11"/>
  <c r="F12" i="11"/>
  <c r="O11" i="11"/>
  <c r="L11" i="11"/>
  <c r="I11" i="11"/>
  <c r="F11" i="11"/>
  <c r="O10" i="11"/>
  <c r="L10" i="11"/>
  <c r="I10" i="11"/>
  <c r="F10" i="11"/>
  <c r="O9" i="11"/>
  <c r="L9" i="11"/>
  <c r="I9" i="11"/>
  <c r="F9" i="11"/>
  <c r="O8" i="11"/>
  <c r="L8" i="11"/>
  <c r="I8" i="11"/>
  <c r="F8" i="11"/>
  <c r="O7" i="11"/>
  <c r="L7" i="11"/>
  <c r="I7" i="11"/>
  <c r="F7" i="11"/>
  <c r="O45" i="10"/>
  <c r="L45" i="10"/>
  <c r="I45" i="10"/>
  <c r="F45" i="10"/>
  <c r="O44" i="10"/>
  <c r="L44" i="10"/>
  <c r="I44" i="10"/>
  <c r="F44" i="10"/>
  <c r="O43" i="10"/>
  <c r="L43" i="10"/>
  <c r="I43" i="10"/>
  <c r="F43" i="10"/>
  <c r="O42" i="10"/>
  <c r="L42" i="10"/>
  <c r="I42" i="10"/>
  <c r="F42" i="10"/>
  <c r="O41" i="10"/>
  <c r="L41" i="10"/>
  <c r="I41" i="10"/>
  <c r="F41" i="10"/>
  <c r="O40" i="10"/>
  <c r="L40" i="10"/>
  <c r="I40" i="10"/>
  <c r="F40" i="10"/>
  <c r="O39" i="10"/>
  <c r="L39" i="10"/>
  <c r="I39" i="10"/>
  <c r="F39" i="10"/>
  <c r="O38" i="10"/>
  <c r="L38" i="10"/>
  <c r="I38" i="10"/>
  <c r="F38" i="10"/>
  <c r="O37" i="10"/>
  <c r="L37" i="10"/>
  <c r="I37" i="10"/>
  <c r="F37" i="10"/>
  <c r="O36" i="10"/>
  <c r="L36" i="10"/>
  <c r="I36" i="10"/>
  <c r="F36" i="10"/>
  <c r="O35" i="10"/>
  <c r="L35" i="10"/>
  <c r="I35" i="10"/>
  <c r="F35" i="10"/>
  <c r="O34" i="10"/>
  <c r="L34" i="10"/>
  <c r="I34" i="10"/>
  <c r="F34" i="10"/>
  <c r="O33" i="10"/>
  <c r="L33" i="10"/>
  <c r="I33" i="10"/>
  <c r="F33" i="10"/>
  <c r="O32" i="10"/>
  <c r="L32" i="10"/>
  <c r="I32" i="10"/>
  <c r="F32" i="10"/>
  <c r="O31" i="10"/>
  <c r="L31" i="10"/>
  <c r="I31" i="10"/>
  <c r="F31" i="10"/>
  <c r="O30" i="10"/>
  <c r="L30" i="10"/>
  <c r="I30" i="10"/>
  <c r="F30" i="10"/>
  <c r="O29" i="10"/>
  <c r="L29" i="10"/>
  <c r="I29" i="10"/>
  <c r="F29" i="10"/>
  <c r="O28" i="10"/>
  <c r="L28" i="10"/>
  <c r="I28" i="10"/>
  <c r="F28" i="10"/>
  <c r="O27" i="10"/>
  <c r="L27" i="10"/>
  <c r="I27" i="10"/>
  <c r="F27" i="10"/>
  <c r="O26" i="10"/>
  <c r="L26" i="10"/>
  <c r="I26" i="10"/>
  <c r="F26" i="10"/>
  <c r="O25" i="10"/>
  <c r="L25" i="10"/>
  <c r="I25" i="10"/>
  <c r="F25" i="10"/>
  <c r="O24" i="10"/>
  <c r="L24" i="10"/>
  <c r="I24" i="10"/>
  <c r="F24" i="10"/>
  <c r="O23" i="10"/>
  <c r="L23" i="10"/>
  <c r="I23" i="10"/>
  <c r="F23" i="10"/>
  <c r="O22" i="10"/>
  <c r="L22" i="10"/>
  <c r="I22" i="10"/>
  <c r="F22" i="10"/>
  <c r="O21" i="10"/>
  <c r="L21" i="10"/>
  <c r="I21" i="10"/>
  <c r="F21" i="10"/>
  <c r="O20" i="10"/>
  <c r="L20" i="10"/>
  <c r="I20" i="10"/>
  <c r="F20" i="10"/>
  <c r="O19" i="10"/>
  <c r="L19" i="10"/>
  <c r="I19" i="10"/>
  <c r="F19" i="10"/>
  <c r="O18" i="10"/>
  <c r="L18" i="10"/>
  <c r="I18" i="10"/>
  <c r="F18" i="10"/>
  <c r="O17" i="10"/>
  <c r="L17" i="10"/>
  <c r="I17" i="10"/>
  <c r="F17" i="10"/>
  <c r="O16" i="10"/>
  <c r="L16" i="10"/>
  <c r="I16" i="10"/>
  <c r="F16" i="10"/>
  <c r="O15" i="10"/>
  <c r="L15" i="10"/>
  <c r="I15" i="10"/>
  <c r="F15" i="10"/>
  <c r="O14" i="10"/>
  <c r="L14" i="10"/>
  <c r="I14" i="10"/>
  <c r="F14" i="10"/>
  <c r="O13" i="10"/>
  <c r="L13" i="10"/>
  <c r="I13" i="10"/>
  <c r="F13" i="10"/>
  <c r="O12" i="10"/>
  <c r="L12" i="10"/>
  <c r="I12" i="10"/>
  <c r="F12" i="10"/>
  <c r="O11" i="10"/>
  <c r="L11" i="10"/>
  <c r="I11" i="10"/>
  <c r="F11" i="10"/>
  <c r="O10" i="10"/>
  <c r="L10" i="10"/>
  <c r="I10" i="10"/>
  <c r="F10" i="10"/>
  <c r="O9" i="10"/>
  <c r="L9" i="10"/>
  <c r="I9" i="10"/>
  <c r="F9" i="10"/>
  <c r="O8" i="10"/>
  <c r="L8" i="10"/>
  <c r="I8" i="10"/>
  <c r="F8" i="10"/>
  <c r="O7" i="10"/>
  <c r="L7" i="10"/>
  <c r="I7" i="10"/>
  <c r="F7" i="10"/>
  <c r="O45" i="9"/>
  <c r="L45" i="9"/>
  <c r="I45" i="9"/>
  <c r="F45" i="9"/>
  <c r="O44" i="9"/>
  <c r="L44" i="9"/>
  <c r="I44" i="9"/>
  <c r="F44" i="9"/>
  <c r="O43" i="9"/>
  <c r="L43" i="9"/>
  <c r="I43" i="9"/>
  <c r="F43" i="9"/>
  <c r="O42" i="9"/>
  <c r="L42" i="9"/>
  <c r="I42" i="9"/>
  <c r="F42" i="9"/>
  <c r="O41" i="9"/>
  <c r="L41" i="9"/>
  <c r="I41" i="9"/>
  <c r="F41" i="9"/>
  <c r="O40" i="9"/>
  <c r="L40" i="9"/>
  <c r="I40" i="9"/>
  <c r="F40" i="9"/>
  <c r="O39" i="9"/>
  <c r="L39" i="9"/>
  <c r="I39" i="9"/>
  <c r="F39" i="9"/>
  <c r="O38" i="9"/>
  <c r="L38" i="9"/>
  <c r="I38" i="9"/>
  <c r="F38" i="9"/>
  <c r="O37" i="9"/>
  <c r="L37" i="9"/>
  <c r="I37" i="9"/>
  <c r="F37" i="9"/>
  <c r="O36" i="9"/>
  <c r="L36" i="9"/>
  <c r="I36" i="9"/>
  <c r="F36" i="9"/>
  <c r="O35" i="9"/>
  <c r="L35" i="9"/>
  <c r="I35" i="9"/>
  <c r="F35" i="9"/>
  <c r="O34" i="9"/>
  <c r="L34" i="9"/>
  <c r="I34" i="9"/>
  <c r="F34" i="9"/>
  <c r="O33" i="9"/>
  <c r="L33" i="9"/>
  <c r="I33" i="9"/>
  <c r="F33" i="9"/>
  <c r="O32" i="9"/>
  <c r="L32" i="9"/>
  <c r="I32" i="9"/>
  <c r="F32" i="9"/>
  <c r="O31" i="9"/>
  <c r="L31" i="9"/>
  <c r="I31" i="9"/>
  <c r="F31" i="9"/>
  <c r="O30" i="9"/>
  <c r="L30" i="9"/>
  <c r="I30" i="9"/>
  <c r="F30" i="9"/>
  <c r="O29" i="9"/>
  <c r="L29" i="9"/>
  <c r="I29" i="9"/>
  <c r="F29" i="9"/>
  <c r="O28" i="9"/>
  <c r="L28" i="9"/>
  <c r="I28" i="9"/>
  <c r="F28" i="9"/>
  <c r="O27" i="9"/>
  <c r="L27" i="9"/>
  <c r="I27" i="9"/>
  <c r="F27" i="9"/>
  <c r="O26" i="9"/>
  <c r="L26" i="9"/>
  <c r="I26" i="9"/>
  <c r="F26" i="9"/>
  <c r="O25" i="9"/>
  <c r="L25" i="9"/>
  <c r="I25" i="9"/>
  <c r="F25" i="9"/>
  <c r="O24" i="9"/>
  <c r="L24" i="9"/>
  <c r="I24" i="9"/>
  <c r="F24" i="9"/>
  <c r="O23" i="9"/>
  <c r="L23" i="9"/>
  <c r="I23" i="9"/>
  <c r="F23" i="9"/>
  <c r="O22" i="9"/>
  <c r="L22" i="9"/>
  <c r="I22" i="9"/>
  <c r="F22" i="9"/>
  <c r="O21" i="9"/>
  <c r="L21" i="9"/>
  <c r="I21" i="9"/>
  <c r="F21" i="9"/>
  <c r="O20" i="9"/>
  <c r="L20" i="9"/>
  <c r="I20" i="9"/>
  <c r="F20" i="9"/>
  <c r="O19" i="9"/>
  <c r="L19" i="9"/>
  <c r="I19" i="9"/>
  <c r="F19" i="9"/>
  <c r="O18" i="9"/>
  <c r="L18" i="9"/>
  <c r="I18" i="9"/>
  <c r="F18" i="9"/>
  <c r="O17" i="9"/>
  <c r="L17" i="9"/>
  <c r="I17" i="9"/>
  <c r="F17" i="9"/>
  <c r="O16" i="9"/>
  <c r="L16" i="9"/>
  <c r="I16" i="9"/>
  <c r="F16" i="9"/>
  <c r="O15" i="9"/>
  <c r="L15" i="9"/>
  <c r="I15" i="9"/>
  <c r="F15" i="9"/>
  <c r="O14" i="9"/>
  <c r="L14" i="9"/>
  <c r="I14" i="9"/>
  <c r="F14" i="9"/>
  <c r="O13" i="9"/>
  <c r="L13" i="9"/>
  <c r="I13" i="9"/>
  <c r="F13" i="9"/>
  <c r="O12" i="9"/>
  <c r="L12" i="9"/>
  <c r="I12" i="9"/>
  <c r="F12" i="9"/>
  <c r="O11" i="9"/>
  <c r="L11" i="9"/>
  <c r="I11" i="9"/>
  <c r="F11" i="9"/>
  <c r="O10" i="9"/>
  <c r="L10" i="9"/>
  <c r="I10" i="9"/>
  <c r="F10" i="9"/>
  <c r="O9" i="9"/>
  <c r="L9" i="9"/>
  <c r="I9" i="9"/>
  <c r="F9" i="9"/>
  <c r="O8" i="9"/>
  <c r="L8" i="9"/>
  <c r="I8" i="9"/>
  <c r="F8" i="9"/>
  <c r="O7" i="9"/>
  <c r="L7" i="9"/>
  <c r="I7" i="9"/>
  <c r="F7" i="9"/>
  <c r="O45" i="8"/>
  <c r="L45" i="8"/>
  <c r="I45" i="8"/>
  <c r="F45" i="8"/>
  <c r="O44" i="8"/>
  <c r="L44" i="8"/>
  <c r="I44" i="8"/>
  <c r="F44" i="8"/>
  <c r="O43" i="8"/>
  <c r="L43" i="8"/>
  <c r="I43" i="8"/>
  <c r="F43" i="8"/>
  <c r="O42" i="8"/>
  <c r="L42" i="8"/>
  <c r="I42" i="8"/>
  <c r="F42" i="8"/>
  <c r="O41" i="8"/>
  <c r="L41" i="8"/>
  <c r="I41" i="8"/>
  <c r="F41" i="8"/>
  <c r="O40" i="8"/>
  <c r="L40" i="8"/>
  <c r="I40" i="8"/>
  <c r="F40" i="8"/>
  <c r="O39" i="8"/>
  <c r="L39" i="8"/>
  <c r="I39" i="8"/>
  <c r="F39" i="8"/>
  <c r="O38" i="8"/>
  <c r="L38" i="8"/>
  <c r="I38" i="8"/>
  <c r="F38" i="8"/>
  <c r="O37" i="8"/>
  <c r="L37" i="8"/>
  <c r="I37" i="8"/>
  <c r="F37" i="8"/>
  <c r="O36" i="8"/>
  <c r="L36" i="8"/>
  <c r="I36" i="8"/>
  <c r="F36" i="8"/>
  <c r="O35" i="8"/>
  <c r="L35" i="8"/>
  <c r="I35" i="8"/>
  <c r="F35" i="8"/>
  <c r="O34" i="8"/>
  <c r="L34" i="8"/>
  <c r="I34" i="8"/>
  <c r="F34" i="8"/>
  <c r="O33" i="8"/>
  <c r="L33" i="8"/>
  <c r="I33" i="8"/>
  <c r="F33" i="8"/>
  <c r="O32" i="8"/>
  <c r="L32" i="8"/>
  <c r="I32" i="8"/>
  <c r="F32" i="8"/>
  <c r="O31" i="8"/>
  <c r="L31" i="8"/>
  <c r="I31" i="8"/>
  <c r="F31" i="8"/>
  <c r="O30" i="8"/>
  <c r="L30" i="8"/>
  <c r="I30" i="8"/>
  <c r="F30" i="8"/>
  <c r="O29" i="8"/>
  <c r="L29" i="8"/>
  <c r="I29" i="8"/>
  <c r="F29" i="8"/>
  <c r="O28" i="8"/>
  <c r="L28" i="8"/>
  <c r="I28" i="8"/>
  <c r="F28" i="8"/>
  <c r="O27" i="8"/>
  <c r="L27" i="8"/>
  <c r="I27" i="8"/>
  <c r="F27" i="8"/>
  <c r="O26" i="8"/>
  <c r="L26" i="8"/>
  <c r="I26" i="8"/>
  <c r="F26" i="8"/>
  <c r="O25" i="8"/>
  <c r="L25" i="8"/>
  <c r="I25" i="8"/>
  <c r="F25" i="8"/>
  <c r="O24" i="8"/>
  <c r="L24" i="8"/>
  <c r="I24" i="8"/>
  <c r="F24" i="8"/>
  <c r="O23" i="8"/>
  <c r="L23" i="8"/>
  <c r="I23" i="8"/>
  <c r="F23" i="8"/>
  <c r="O22" i="8"/>
  <c r="L22" i="8"/>
  <c r="I22" i="8"/>
  <c r="F22" i="8"/>
  <c r="O21" i="8"/>
  <c r="L21" i="8"/>
  <c r="I21" i="8"/>
  <c r="F21" i="8"/>
  <c r="O20" i="8"/>
  <c r="L20" i="8"/>
  <c r="I20" i="8"/>
  <c r="F20" i="8"/>
  <c r="O19" i="8"/>
  <c r="L19" i="8"/>
  <c r="I19" i="8"/>
  <c r="F19" i="8"/>
  <c r="O18" i="8"/>
  <c r="L18" i="8"/>
  <c r="I18" i="8"/>
  <c r="F18" i="8"/>
  <c r="O17" i="8"/>
  <c r="L17" i="8"/>
  <c r="I17" i="8"/>
  <c r="F17" i="8"/>
  <c r="O16" i="8"/>
  <c r="L16" i="8"/>
  <c r="I16" i="8"/>
  <c r="F16" i="8"/>
  <c r="O15" i="8"/>
  <c r="L15" i="8"/>
  <c r="I15" i="8"/>
  <c r="F15" i="8"/>
  <c r="O14" i="8"/>
  <c r="L14" i="8"/>
  <c r="I14" i="8"/>
  <c r="F14" i="8"/>
  <c r="O13" i="8"/>
  <c r="L13" i="8"/>
  <c r="I13" i="8"/>
  <c r="F13" i="8"/>
  <c r="O12" i="8"/>
  <c r="L12" i="8"/>
  <c r="I12" i="8"/>
  <c r="F12" i="8"/>
  <c r="O11" i="8"/>
  <c r="L11" i="8"/>
  <c r="I11" i="8"/>
  <c r="F11" i="8"/>
  <c r="O10" i="8"/>
  <c r="L10" i="8"/>
  <c r="I10" i="8"/>
  <c r="F10" i="8"/>
  <c r="O9" i="8"/>
  <c r="L9" i="8"/>
  <c r="I9" i="8"/>
  <c r="F9" i="8"/>
  <c r="O8" i="8"/>
  <c r="L8" i="8"/>
  <c r="I8" i="8"/>
  <c r="F8" i="8"/>
  <c r="O7" i="8"/>
  <c r="L7" i="8"/>
  <c r="I7" i="8"/>
  <c r="F7" i="8"/>
  <c r="O45" i="7"/>
  <c r="L45" i="7"/>
  <c r="I45" i="7"/>
  <c r="F45" i="7"/>
  <c r="O44" i="7"/>
  <c r="L44" i="7"/>
  <c r="I44" i="7"/>
  <c r="F44" i="7"/>
  <c r="O43" i="7"/>
  <c r="L43" i="7"/>
  <c r="I43" i="7"/>
  <c r="F43" i="7"/>
  <c r="O42" i="7"/>
  <c r="L42" i="7"/>
  <c r="I42" i="7"/>
  <c r="F42" i="7"/>
  <c r="O41" i="7"/>
  <c r="L41" i="7"/>
  <c r="I41" i="7"/>
  <c r="F41" i="7"/>
  <c r="O40" i="7"/>
  <c r="L40" i="7"/>
  <c r="I40" i="7"/>
  <c r="F40" i="7"/>
  <c r="O39" i="7"/>
  <c r="L39" i="7"/>
  <c r="I39" i="7"/>
  <c r="F39" i="7"/>
  <c r="O38" i="7"/>
  <c r="L38" i="7"/>
  <c r="I38" i="7"/>
  <c r="F38" i="7"/>
  <c r="O37" i="7"/>
  <c r="L37" i="7"/>
  <c r="I37" i="7"/>
  <c r="F37" i="7"/>
  <c r="O36" i="7"/>
  <c r="L36" i="7"/>
  <c r="I36" i="7"/>
  <c r="F36" i="7"/>
  <c r="O35" i="7"/>
  <c r="L35" i="7"/>
  <c r="I35" i="7"/>
  <c r="F35" i="7"/>
  <c r="O34" i="7"/>
  <c r="L34" i="7"/>
  <c r="I34" i="7"/>
  <c r="F34" i="7"/>
  <c r="O33" i="7"/>
  <c r="L33" i="7"/>
  <c r="I33" i="7"/>
  <c r="F33" i="7"/>
  <c r="O32" i="7"/>
  <c r="L32" i="7"/>
  <c r="I32" i="7"/>
  <c r="F32" i="7"/>
  <c r="O31" i="7"/>
  <c r="L31" i="7"/>
  <c r="I31" i="7"/>
  <c r="F31" i="7"/>
  <c r="O30" i="7"/>
  <c r="L30" i="7"/>
  <c r="I30" i="7"/>
  <c r="F30" i="7"/>
  <c r="O29" i="7"/>
  <c r="L29" i="7"/>
  <c r="I29" i="7"/>
  <c r="F29" i="7"/>
  <c r="O28" i="7"/>
  <c r="L28" i="7"/>
  <c r="I28" i="7"/>
  <c r="F28" i="7"/>
  <c r="O27" i="7"/>
  <c r="L27" i="7"/>
  <c r="I27" i="7"/>
  <c r="F27" i="7"/>
  <c r="O26" i="7"/>
  <c r="L26" i="7"/>
  <c r="I26" i="7"/>
  <c r="F26" i="7"/>
  <c r="O25" i="7"/>
  <c r="L25" i="7"/>
  <c r="I25" i="7"/>
  <c r="F25" i="7"/>
  <c r="O24" i="7"/>
  <c r="L24" i="7"/>
  <c r="I24" i="7"/>
  <c r="F24" i="7"/>
  <c r="O23" i="7"/>
  <c r="L23" i="7"/>
  <c r="I23" i="7"/>
  <c r="F23" i="7"/>
  <c r="O22" i="7"/>
  <c r="L22" i="7"/>
  <c r="I22" i="7"/>
  <c r="F22" i="7"/>
  <c r="O21" i="7"/>
  <c r="L21" i="7"/>
  <c r="I21" i="7"/>
  <c r="F21" i="7"/>
  <c r="O20" i="7"/>
  <c r="L20" i="7"/>
  <c r="I20" i="7"/>
  <c r="F20" i="7"/>
  <c r="O19" i="7"/>
  <c r="L19" i="7"/>
  <c r="I19" i="7"/>
  <c r="F19" i="7"/>
  <c r="O18" i="7"/>
  <c r="L18" i="7"/>
  <c r="I18" i="7"/>
  <c r="F18" i="7"/>
  <c r="O17" i="7"/>
  <c r="L17" i="7"/>
  <c r="I17" i="7"/>
  <c r="F17" i="7"/>
  <c r="O16" i="7"/>
  <c r="L16" i="7"/>
  <c r="I16" i="7"/>
  <c r="F16" i="7"/>
  <c r="O15" i="7"/>
  <c r="L15" i="7"/>
  <c r="I15" i="7"/>
  <c r="F15" i="7"/>
  <c r="O14" i="7"/>
  <c r="L14" i="7"/>
  <c r="I14" i="7"/>
  <c r="F14" i="7"/>
  <c r="O13" i="7"/>
  <c r="L13" i="7"/>
  <c r="I13" i="7"/>
  <c r="F13" i="7"/>
  <c r="O12" i="7"/>
  <c r="L12" i="7"/>
  <c r="I12" i="7"/>
  <c r="F12" i="7"/>
  <c r="O11" i="7"/>
  <c r="L11" i="7"/>
  <c r="I11" i="7"/>
  <c r="F11" i="7"/>
  <c r="O10" i="7"/>
  <c r="L10" i="7"/>
  <c r="I10" i="7"/>
  <c r="F10" i="7"/>
  <c r="O9" i="7"/>
  <c r="L9" i="7"/>
  <c r="I9" i="7"/>
  <c r="F9" i="7"/>
  <c r="O8" i="7"/>
  <c r="L8" i="7"/>
  <c r="I8" i="7"/>
  <c r="F8" i="7"/>
  <c r="O7" i="7"/>
  <c r="L7" i="7"/>
  <c r="I7" i="7"/>
  <c r="F7" i="7"/>
  <c r="O45" i="6"/>
  <c r="L45" i="6"/>
  <c r="I45" i="6"/>
  <c r="F45" i="6"/>
  <c r="O44" i="6"/>
  <c r="L44" i="6"/>
  <c r="I44" i="6"/>
  <c r="F44" i="6"/>
  <c r="O43" i="6"/>
  <c r="L43" i="6"/>
  <c r="I43" i="6"/>
  <c r="F43" i="6"/>
  <c r="O42" i="6"/>
  <c r="L42" i="6"/>
  <c r="I42" i="6"/>
  <c r="F42" i="6"/>
  <c r="O41" i="6"/>
  <c r="L41" i="6"/>
  <c r="I41" i="6"/>
  <c r="F41" i="6"/>
  <c r="O40" i="6"/>
  <c r="L40" i="6"/>
  <c r="I40" i="6"/>
  <c r="F40" i="6"/>
  <c r="O39" i="6"/>
  <c r="L39" i="6"/>
  <c r="I39" i="6"/>
  <c r="F39" i="6"/>
  <c r="O38" i="6"/>
  <c r="L38" i="6"/>
  <c r="I38" i="6"/>
  <c r="F38" i="6"/>
  <c r="O37" i="6"/>
  <c r="L37" i="6"/>
  <c r="I37" i="6"/>
  <c r="F37" i="6"/>
  <c r="O36" i="6"/>
  <c r="L36" i="6"/>
  <c r="I36" i="6"/>
  <c r="F36" i="6"/>
  <c r="O35" i="6"/>
  <c r="L35" i="6"/>
  <c r="I35" i="6"/>
  <c r="F35" i="6"/>
  <c r="O34" i="6"/>
  <c r="L34" i="6"/>
  <c r="I34" i="6"/>
  <c r="F34" i="6"/>
  <c r="O33" i="6"/>
  <c r="L33" i="6"/>
  <c r="I33" i="6"/>
  <c r="F33" i="6"/>
  <c r="O32" i="6"/>
  <c r="L32" i="6"/>
  <c r="I32" i="6"/>
  <c r="F32" i="6"/>
  <c r="O31" i="6"/>
  <c r="L31" i="6"/>
  <c r="I31" i="6"/>
  <c r="F31" i="6"/>
  <c r="O30" i="6"/>
  <c r="L30" i="6"/>
  <c r="I30" i="6"/>
  <c r="F30" i="6"/>
  <c r="O29" i="6"/>
  <c r="L29" i="6"/>
  <c r="I29" i="6"/>
  <c r="F29" i="6"/>
  <c r="O28" i="6"/>
  <c r="L28" i="6"/>
  <c r="I28" i="6"/>
  <c r="F28" i="6"/>
  <c r="O27" i="6"/>
  <c r="L27" i="6"/>
  <c r="I27" i="6"/>
  <c r="F27" i="6"/>
  <c r="O26" i="6"/>
  <c r="L26" i="6"/>
  <c r="I26" i="6"/>
  <c r="F26" i="6"/>
  <c r="O25" i="6"/>
  <c r="L25" i="6"/>
  <c r="I25" i="6"/>
  <c r="F25" i="6"/>
  <c r="O24" i="6"/>
  <c r="L24" i="6"/>
  <c r="I24" i="6"/>
  <c r="F24" i="6"/>
  <c r="O23" i="6"/>
  <c r="L23" i="6"/>
  <c r="I23" i="6"/>
  <c r="F23" i="6"/>
  <c r="O22" i="6"/>
  <c r="L22" i="6"/>
  <c r="I22" i="6"/>
  <c r="F22" i="6"/>
  <c r="O21" i="6"/>
  <c r="L21" i="6"/>
  <c r="I21" i="6"/>
  <c r="F21" i="6"/>
  <c r="O20" i="6"/>
  <c r="L20" i="6"/>
  <c r="I20" i="6"/>
  <c r="F20" i="6"/>
  <c r="O19" i="6"/>
  <c r="L19" i="6"/>
  <c r="I19" i="6"/>
  <c r="F19" i="6"/>
  <c r="O18" i="6"/>
  <c r="L18" i="6"/>
  <c r="I18" i="6"/>
  <c r="F18" i="6"/>
  <c r="O17" i="6"/>
  <c r="L17" i="6"/>
  <c r="I17" i="6"/>
  <c r="F17" i="6"/>
  <c r="O16" i="6"/>
  <c r="L16" i="6"/>
  <c r="I16" i="6"/>
  <c r="F16" i="6"/>
  <c r="O15" i="6"/>
  <c r="L15" i="6"/>
  <c r="I15" i="6"/>
  <c r="F15" i="6"/>
  <c r="O14" i="6"/>
  <c r="L14" i="6"/>
  <c r="I14" i="6"/>
  <c r="F14" i="6"/>
  <c r="O13" i="6"/>
  <c r="L13" i="6"/>
  <c r="I13" i="6"/>
  <c r="F13" i="6"/>
  <c r="O12" i="6"/>
  <c r="L12" i="6"/>
  <c r="I12" i="6"/>
  <c r="F12" i="6"/>
  <c r="O11" i="6"/>
  <c r="L11" i="6"/>
  <c r="I11" i="6"/>
  <c r="F11" i="6"/>
  <c r="O10" i="6"/>
  <c r="L10" i="6"/>
  <c r="I10" i="6"/>
  <c r="F10" i="6"/>
  <c r="O9" i="6"/>
  <c r="L9" i="6"/>
  <c r="I9" i="6"/>
  <c r="F9" i="6"/>
  <c r="O8" i="6"/>
  <c r="L8" i="6"/>
  <c r="I8" i="6"/>
  <c r="F8" i="6"/>
  <c r="O7" i="6"/>
  <c r="L7" i="6"/>
  <c r="I7" i="6"/>
  <c r="F7" i="6"/>
  <c r="O45" i="5"/>
  <c r="L45" i="5"/>
  <c r="I45" i="5"/>
  <c r="F45" i="5"/>
  <c r="O44" i="5"/>
  <c r="L44" i="5"/>
  <c r="I44" i="5"/>
  <c r="F44" i="5"/>
  <c r="O43" i="5"/>
  <c r="L43" i="5"/>
  <c r="I43" i="5"/>
  <c r="F43" i="5"/>
  <c r="O42" i="5"/>
  <c r="L42" i="5"/>
  <c r="I42" i="5"/>
  <c r="F42" i="5"/>
  <c r="O41" i="5"/>
  <c r="L41" i="5"/>
  <c r="I41" i="5"/>
  <c r="F41" i="5"/>
  <c r="O40" i="5"/>
  <c r="L40" i="5"/>
  <c r="I40" i="5"/>
  <c r="F40" i="5"/>
  <c r="O39" i="5"/>
  <c r="L39" i="5"/>
  <c r="I39" i="5"/>
  <c r="F39" i="5"/>
  <c r="O38" i="5"/>
  <c r="L38" i="5"/>
  <c r="I38" i="5"/>
  <c r="F38" i="5"/>
  <c r="O37" i="5"/>
  <c r="L37" i="5"/>
  <c r="I37" i="5"/>
  <c r="F37" i="5"/>
  <c r="O36" i="5"/>
  <c r="L36" i="5"/>
  <c r="I36" i="5"/>
  <c r="F36" i="5"/>
  <c r="O35" i="5"/>
  <c r="L35" i="5"/>
  <c r="I35" i="5"/>
  <c r="F35" i="5"/>
  <c r="O34" i="5"/>
  <c r="L34" i="5"/>
  <c r="I34" i="5"/>
  <c r="F34" i="5"/>
  <c r="O33" i="5"/>
  <c r="L33" i="5"/>
  <c r="I33" i="5"/>
  <c r="F33" i="5"/>
  <c r="O32" i="5"/>
  <c r="L32" i="5"/>
  <c r="I32" i="5"/>
  <c r="F32" i="5"/>
  <c r="O31" i="5"/>
  <c r="L31" i="5"/>
  <c r="I31" i="5"/>
  <c r="F31" i="5"/>
  <c r="O30" i="5"/>
  <c r="L30" i="5"/>
  <c r="I30" i="5"/>
  <c r="F30" i="5"/>
  <c r="O29" i="5"/>
  <c r="L29" i="5"/>
  <c r="I29" i="5"/>
  <c r="F29" i="5"/>
  <c r="O28" i="5"/>
  <c r="L28" i="5"/>
  <c r="I28" i="5"/>
  <c r="F28" i="5"/>
  <c r="O27" i="5"/>
  <c r="L27" i="5"/>
  <c r="I27" i="5"/>
  <c r="F27" i="5"/>
  <c r="O26" i="5"/>
  <c r="L26" i="5"/>
  <c r="I26" i="5"/>
  <c r="F26" i="5"/>
  <c r="O25" i="5"/>
  <c r="L25" i="5"/>
  <c r="I25" i="5"/>
  <c r="F25" i="5"/>
  <c r="O24" i="5"/>
  <c r="L24" i="5"/>
  <c r="I24" i="5"/>
  <c r="F24" i="5"/>
  <c r="O23" i="5"/>
  <c r="L23" i="5"/>
  <c r="I23" i="5"/>
  <c r="F23" i="5"/>
  <c r="O22" i="5"/>
  <c r="L22" i="5"/>
  <c r="I22" i="5"/>
  <c r="F22" i="5"/>
  <c r="O21" i="5"/>
  <c r="L21" i="5"/>
  <c r="I21" i="5"/>
  <c r="F21" i="5"/>
  <c r="O20" i="5"/>
  <c r="L20" i="5"/>
  <c r="I20" i="5"/>
  <c r="F20" i="5"/>
  <c r="O19" i="5"/>
  <c r="L19" i="5"/>
  <c r="I19" i="5"/>
  <c r="F19" i="5"/>
  <c r="O18" i="5"/>
  <c r="L18" i="5"/>
  <c r="I18" i="5"/>
  <c r="F18" i="5"/>
  <c r="O17" i="5"/>
  <c r="L17" i="5"/>
  <c r="I17" i="5"/>
  <c r="F17" i="5"/>
  <c r="O16" i="5"/>
  <c r="L16" i="5"/>
  <c r="I16" i="5"/>
  <c r="F16" i="5"/>
  <c r="O15" i="5"/>
  <c r="L15" i="5"/>
  <c r="I15" i="5"/>
  <c r="F15" i="5"/>
  <c r="O14" i="5"/>
  <c r="L14" i="5"/>
  <c r="I14" i="5"/>
  <c r="F14" i="5"/>
  <c r="O13" i="5"/>
  <c r="L13" i="5"/>
  <c r="I13" i="5"/>
  <c r="F13" i="5"/>
  <c r="O12" i="5"/>
  <c r="L12" i="5"/>
  <c r="I12" i="5"/>
  <c r="F12" i="5"/>
  <c r="O11" i="5"/>
  <c r="L11" i="5"/>
  <c r="I11" i="5"/>
  <c r="F11" i="5"/>
  <c r="O10" i="5"/>
  <c r="L10" i="5"/>
  <c r="I10" i="5"/>
  <c r="F10" i="5"/>
  <c r="O9" i="5"/>
  <c r="L9" i="5"/>
  <c r="I9" i="5"/>
  <c r="F9" i="5"/>
  <c r="O8" i="5"/>
  <c r="L8" i="5"/>
  <c r="I8" i="5"/>
  <c r="F8" i="5"/>
  <c r="O7" i="5"/>
  <c r="L7" i="5"/>
  <c r="I7" i="5"/>
  <c r="F7" i="5"/>
  <c r="O45" i="4"/>
  <c r="L45" i="4"/>
  <c r="I45" i="4"/>
  <c r="F45" i="4"/>
  <c r="O44" i="4"/>
  <c r="L44" i="4"/>
  <c r="I44" i="4"/>
  <c r="F44" i="4"/>
  <c r="O43" i="4"/>
  <c r="L43" i="4"/>
  <c r="I43" i="4"/>
  <c r="F43" i="4"/>
  <c r="O42" i="4"/>
  <c r="L42" i="4"/>
  <c r="I42" i="4"/>
  <c r="F42" i="4"/>
  <c r="O41" i="4"/>
  <c r="L41" i="4"/>
  <c r="I41" i="4"/>
  <c r="F41" i="4"/>
  <c r="O40" i="4"/>
  <c r="L40" i="4"/>
  <c r="I40" i="4"/>
  <c r="F40" i="4"/>
  <c r="O39" i="4"/>
  <c r="L39" i="4"/>
  <c r="I39" i="4"/>
  <c r="F39" i="4"/>
  <c r="O38" i="4"/>
  <c r="L38" i="4"/>
  <c r="I38" i="4"/>
  <c r="F38" i="4"/>
  <c r="O37" i="4"/>
  <c r="L37" i="4"/>
  <c r="I37" i="4"/>
  <c r="F37" i="4"/>
  <c r="O36" i="4"/>
  <c r="L36" i="4"/>
  <c r="I36" i="4"/>
  <c r="F36" i="4"/>
  <c r="O35" i="4"/>
  <c r="L35" i="4"/>
  <c r="I35" i="4"/>
  <c r="F35" i="4"/>
  <c r="O34" i="4"/>
  <c r="L34" i="4"/>
  <c r="I34" i="4"/>
  <c r="F34" i="4"/>
  <c r="O33" i="4"/>
  <c r="L33" i="4"/>
  <c r="I33" i="4"/>
  <c r="F33" i="4"/>
  <c r="O32" i="4"/>
  <c r="L32" i="4"/>
  <c r="I32" i="4"/>
  <c r="F32" i="4"/>
  <c r="O31" i="4"/>
  <c r="L31" i="4"/>
  <c r="I31" i="4"/>
  <c r="F31" i="4"/>
  <c r="O30" i="4"/>
  <c r="L30" i="4"/>
  <c r="I30" i="4"/>
  <c r="F30" i="4"/>
  <c r="O29" i="4"/>
  <c r="L29" i="4"/>
  <c r="I29" i="4"/>
  <c r="F29" i="4"/>
  <c r="O28" i="4"/>
  <c r="L28" i="4"/>
  <c r="I28" i="4"/>
  <c r="F28" i="4"/>
  <c r="O27" i="4"/>
  <c r="L27" i="4"/>
  <c r="I27" i="4"/>
  <c r="F27" i="4"/>
  <c r="O26" i="4"/>
  <c r="L26" i="4"/>
  <c r="I26" i="4"/>
  <c r="F26" i="4"/>
  <c r="O25" i="4"/>
  <c r="L25" i="4"/>
  <c r="I25" i="4"/>
  <c r="F25" i="4"/>
  <c r="O24" i="4"/>
  <c r="L24" i="4"/>
  <c r="I24" i="4"/>
  <c r="F24" i="4"/>
  <c r="O23" i="4"/>
  <c r="L23" i="4"/>
  <c r="I23" i="4"/>
  <c r="F23" i="4"/>
  <c r="O22" i="4"/>
  <c r="L22" i="4"/>
  <c r="I22" i="4"/>
  <c r="F22" i="4"/>
  <c r="O21" i="4"/>
  <c r="L21" i="4"/>
  <c r="I21" i="4"/>
  <c r="F21" i="4"/>
  <c r="O20" i="4"/>
  <c r="L20" i="4"/>
  <c r="I20" i="4"/>
  <c r="F20" i="4"/>
  <c r="O19" i="4"/>
  <c r="L19" i="4"/>
  <c r="I19" i="4"/>
  <c r="F19" i="4"/>
  <c r="O18" i="4"/>
  <c r="L18" i="4"/>
  <c r="I18" i="4"/>
  <c r="F18" i="4"/>
  <c r="O17" i="4"/>
  <c r="L17" i="4"/>
  <c r="I17" i="4"/>
  <c r="F17" i="4"/>
  <c r="O16" i="4"/>
  <c r="L16" i="4"/>
  <c r="I16" i="4"/>
  <c r="F16" i="4"/>
  <c r="O15" i="4"/>
  <c r="L15" i="4"/>
  <c r="I15" i="4"/>
  <c r="F15" i="4"/>
  <c r="O14" i="4"/>
  <c r="L14" i="4"/>
  <c r="I14" i="4"/>
  <c r="F14" i="4"/>
  <c r="O13" i="4"/>
  <c r="L13" i="4"/>
  <c r="I13" i="4"/>
  <c r="F13" i="4"/>
  <c r="O12" i="4"/>
  <c r="L12" i="4"/>
  <c r="I12" i="4"/>
  <c r="F12" i="4"/>
  <c r="O11" i="4"/>
  <c r="L11" i="4"/>
  <c r="I11" i="4"/>
  <c r="F11" i="4"/>
  <c r="O10" i="4"/>
  <c r="L10" i="4"/>
  <c r="I10" i="4"/>
  <c r="F10" i="4"/>
  <c r="O9" i="4"/>
  <c r="L9" i="4"/>
  <c r="I9" i="4"/>
  <c r="F9" i="4"/>
  <c r="O8" i="4"/>
  <c r="L8" i="4"/>
  <c r="I8" i="4"/>
  <c r="F8" i="4"/>
  <c r="O7" i="4"/>
  <c r="L7" i="4"/>
  <c r="I7" i="4"/>
  <c r="F7" i="4"/>
  <c r="O46" i="3"/>
  <c r="L46" i="3"/>
  <c r="I46" i="3"/>
  <c r="F46" i="3"/>
  <c r="O45" i="3"/>
  <c r="L45" i="3"/>
  <c r="I45" i="3"/>
  <c r="F45" i="3"/>
  <c r="O44" i="3"/>
  <c r="L44" i="3"/>
  <c r="I44" i="3"/>
  <c r="F44" i="3"/>
  <c r="O43" i="3"/>
  <c r="L43" i="3"/>
  <c r="I43" i="3"/>
  <c r="F43" i="3"/>
  <c r="O42" i="3"/>
  <c r="L42" i="3"/>
  <c r="I42" i="3"/>
  <c r="F42" i="3"/>
  <c r="O41" i="3"/>
  <c r="L41" i="3"/>
  <c r="I41" i="3"/>
  <c r="F41" i="3"/>
  <c r="O40" i="3"/>
  <c r="L40" i="3"/>
  <c r="I40" i="3"/>
  <c r="F40" i="3"/>
  <c r="O39" i="3"/>
  <c r="L39" i="3"/>
  <c r="I39" i="3"/>
  <c r="F39" i="3"/>
  <c r="O38" i="3"/>
  <c r="L38" i="3"/>
  <c r="I38" i="3"/>
  <c r="F38" i="3"/>
  <c r="O37" i="3"/>
  <c r="L37" i="3"/>
  <c r="I37" i="3"/>
  <c r="F37" i="3"/>
  <c r="O36" i="3"/>
  <c r="L36" i="3"/>
  <c r="I36" i="3"/>
  <c r="F36" i="3"/>
  <c r="O35" i="3"/>
  <c r="L35" i="3"/>
  <c r="I35" i="3"/>
  <c r="F35" i="3"/>
  <c r="O34" i="3"/>
  <c r="L34" i="3"/>
  <c r="I34" i="3"/>
  <c r="F34" i="3"/>
  <c r="O33" i="3"/>
  <c r="L33" i="3"/>
  <c r="I33" i="3"/>
  <c r="F33" i="3"/>
  <c r="O32" i="3"/>
  <c r="L32" i="3"/>
  <c r="I32" i="3"/>
  <c r="F32" i="3"/>
  <c r="O31" i="3"/>
  <c r="L31" i="3"/>
  <c r="I31" i="3"/>
  <c r="F31" i="3"/>
  <c r="O30" i="3"/>
  <c r="L30" i="3"/>
  <c r="I30" i="3"/>
  <c r="F30" i="3"/>
  <c r="O29" i="3"/>
  <c r="L29" i="3"/>
  <c r="I29" i="3"/>
  <c r="F29" i="3"/>
  <c r="O28" i="3"/>
  <c r="L28" i="3"/>
  <c r="I28" i="3"/>
  <c r="F28" i="3"/>
  <c r="O27" i="3"/>
  <c r="L27" i="3"/>
  <c r="I27" i="3"/>
  <c r="F27" i="3"/>
  <c r="O26" i="3"/>
  <c r="L26" i="3"/>
  <c r="I26" i="3"/>
  <c r="F26" i="3"/>
  <c r="O25" i="3"/>
  <c r="L25" i="3"/>
  <c r="I25" i="3"/>
  <c r="F25" i="3"/>
  <c r="O24" i="3"/>
  <c r="L24" i="3"/>
  <c r="I24" i="3"/>
  <c r="F24" i="3"/>
  <c r="O23" i="3"/>
  <c r="L23" i="3"/>
  <c r="I23" i="3"/>
  <c r="F23" i="3"/>
  <c r="O22" i="3"/>
  <c r="L22" i="3"/>
  <c r="I22" i="3"/>
  <c r="F22" i="3"/>
  <c r="O21" i="3"/>
  <c r="L21" i="3"/>
  <c r="I21" i="3"/>
  <c r="F21" i="3"/>
  <c r="O20" i="3"/>
  <c r="L20" i="3"/>
  <c r="I20" i="3"/>
  <c r="F20" i="3"/>
  <c r="O19" i="3"/>
  <c r="L19" i="3"/>
  <c r="I19" i="3"/>
  <c r="F19" i="3"/>
  <c r="O18" i="3"/>
  <c r="L18" i="3"/>
  <c r="I18" i="3"/>
  <c r="F18" i="3"/>
  <c r="O17" i="3"/>
  <c r="L17" i="3"/>
  <c r="I17" i="3"/>
  <c r="F17" i="3"/>
  <c r="O16" i="3"/>
  <c r="L16" i="3"/>
  <c r="I16" i="3"/>
  <c r="F16" i="3"/>
  <c r="O15" i="3"/>
  <c r="L15" i="3"/>
  <c r="I15" i="3"/>
  <c r="F15" i="3"/>
  <c r="O14" i="3"/>
  <c r="L14" i="3"/>
  <c r="I14" i="3"/>
  <c r="F14" i="3"/>
  <c r="O13" i="3"/>
  <c r="L13" i="3"/>
  <c r="I13" i="3"/>
  <c r="F13" i="3"/>
  <c r="O12" i="3"/>
  <c r="L12" i="3"/>
  <c r="I12" i="3"/>
  <c r="F12" i="3"/>
  <c r="O11" i="3"/>
  <c r="L11" i="3"/>
  <c r="I11" i="3"/>
  <c r="F11" i="3"/>
  <c r="O10" i="3"/>
  <c r="L10" i="3"/>
  <c r="I10" i="3"/>
  <c r="F10" i="3"/>
  <c r="O9" i="3"/>
  <c r="L9" i="3"/>
  <c r="I9" i="3"/>
  <c r="F9" i="3"/>
  <c r="O8" i="3"/>
  <c r="L8" i="3"/>
  <c r="I8" i="3"/>
  <c r="F8" i="3"/>
  <c r="O45" i="2"/>
  <c r="L45" i="2"/>
  <c r="I45" i="2"/>
  <c r="F45" i="2"/>
  <c r="O44" i="2"/>
  <c r="L44" i="2"/>
  <c r="I44" i="2"/>
  <c r="F44" i="2"/>
  <c r="O43" i="2"/>
  <c r="L43" i="2"/>
  <c r="I43" i="2"/>
  <c r="F43" i="2"/>
  <c r="O42" i="2"/>
  <c r="L42" i="2"/>
  <c r="I42" i="2"/>
  <c r="F42" i="2"/>
  <c r="O41" i="2"/>
  <c r="L41" i="2"/>
  <c r="I41" i="2"/>
  <c r="F41" i="2"/>
  <c r="O40" i="2"/>
  <c r="L40" i="2"/>
  <c r="I40" i="2"/>
  <c r="F40" i="2"/>
  <c r="O39" i="2"/>
  <c r="L39" i="2"/>
  <c r="I39" i="2"/>
  <c r="F39" i="2"/>
  <c r="O38" i="2"/>
  <c r="L38" i="2"/>
  <c r="I38" i="2"/>
  <c r="F38" i="2"/>
  <c r="O37" i="2"/>
  <c r="L37" i="2"/>
  <c r="I37" i="2"/>
  <c r="F37" i="2"/>
  <c r="O36" i="2"/>
  <c r="L36" i="2"/>
  <c r="I36" i="2"/>
  <c r="F36" i="2"/>
  <c r="O35" i="2"/>
  <c r="L35" i="2"/>
  <c r="I35" i="2"/>
  <c r="F35" i="2"/>
  <c r="O34" i="2"/>
  <c r="L34" i="2"/>
  <c r="I34" i="2"/>
  <c r="F34" i="2"/>
  <c r="O33" i="2"/>
  <c r="L33" i="2"/>
  <c r="I33" i="2"/>
  <c r="F33" i="2"/>
  <c r="O32" i="2"/>
  <c r="L32" i="2"/>
  <c r="I32" i="2"/>
  <c r="F32" i="2"/>
  <c r="O31" i="2"/>
  <c r="L31" i="2"/>
  <c r="I31" i="2"/>
  <c r="F31" i="2"/>
  <c r="O30" i="2"/>
  <c r="L30" i="2"/>
  <c r="I30" i="2"/>
  <c r="F30" i="2"/>
  <c r="O29" i="2"/>
  <c r="L29" i="2"/>
  <c r="I29" i="2"/>
  <c r="F29" i="2"/>
  <c r="O28" i="2"/>
  <c r="L28" i="2"/>
  <c r="I28" i="2"/>
  <c r="F28" i="2"/>
  <c r="O27" i="2"/>
  <c r="L27" i="2"/>
  <c r="I27" i="2"/>
  <c r="F27" i="2"/>
  <c r="O26" i="2"/>
  <c r="L26" i="2"/>
  <c r="I26" i="2"/>
  <c r="F26" i="2"/>
  <c r="O25" i="2"/>
  <c r="L25" i="2"/>
  <c r="I25" i="2"/>
  <c r="F25" i="2"/>
  <c r="O24" i="2"/>
  <c r="L24" i="2"/>
  <c r="I24" i="2"/>
  <c r="F24" i="2"/>
  <c r="O23" i="2"/>
  <c r="L23" i="2"/>
  <c r="I23" i="2"/>
  <c r="F23" i="2"/>
  <c r="O22" i="2"/>
  <c r="L22" i="2"/>
  <c r="I22" i="2"/>
  <c r="F22" i="2"/>
  <c r="O21" i="2"/>
  <c r="L21" i="2"/>
  <c r="I21" i="2"/>
  <c r="F21" i="2"/>
  <c r="O20" i="2"/>
  <c r="L20" i="2"/>
  <c r="I20" i="2"/>
  <c r="F20" i="2"/>
  <c r="O19" i="2"/>
  <c r="L19" i="2"/>
  <c r="I19" i="2"/>
  <c r="F19" i="2"/>
  <c r="O18" i="2"/>
  <c r="L18" i="2"/>
  <c r="I18" i="2"/>
  <c r="F18" i="2"/>
  <c r="O17" i="2"/>
  <c r="L17" i="2"/>
  <c r="I17" i="2"/>
  <c r="F17" i="2"/>
  <c r="O16" i="2"/>
  <c r="L16" i="2"/>
  <c r="I16" i="2"/>
  <c r="F16" i="2"/>
  <c r="O15" i="2"/>
  <c r="L15" i="2"/>
  <c r="I15" i="2"/>
  <c r="F15" i="2"/>
  <c r="O14" i="2"/>
  <c r="L14" i="2"/>
  <c r="I14" i="2"/>
  <c r="F14" i="2"/>
  <c r="O13" i="2"/>
  <c r="L13" i="2"/>
  <c r="I13" i="2"/>
  <c r="F13" i="2"/>
  <c r="O12" i="2"/>
  <c r="L12" i="2"/>
  <c r="I12" i="2"/>
  <c r="F12" i="2"/>
  <c r="O11" i="2"/>
  <c r="L11" i="2"/>
  <c r="I11" i="2"/>
  <c r="F11" i="2"/>
  <c r="O10" i="2"/>
  <c r="L10" i="2"/>
  <c r="I10" i="2"/>
  <c r="F10" i="2"/>
  <c r="O9" i="2"/>
  <c r="L9" i="2"/>
  <c r="I9" i="2"/>
  <c r="F9" i="2"/>
  <c r="O8" i="2"/>
  <c r="L8" i="2"/>
  <c r="I8" i="2"/>
  <c r="F8" i="2"/>
  <c r="O7" i="2"/>
  <c r="L7" i="2"/>
  <c r="I7" i="2"/>
  <c r="F7" i="2"/>
  <c r="M46" i="1"/>
  <c r="J46" i="1"/>
  <c r="G46" i="1"/>
  <c r="D46" i="1"/>
  <c r="M45" i="1"/>
  <c r="J45" i="1"/>
  <c r="G45" i="1"/>
  <c r="D45" i="1"/>
  <c r="M44" i="1"/>
  <c r="J44" i="1"/>
  <c r="G44" i="1"/>
  <c r="D44" i="1"/>
  <c r="M43" i="1"/>
  <c r="J43" i="1"/>
  <c r="G43" i="1"/>
  <c r="D43" i="1"/>
  <c r="M42" i="1"/>
  <c r="J42" i="1"/>
  <c r="G42" i="1"/>
  <c r="D42" i="1"/>
  <c r="M41" i="1"/>
  <c r="J41" i="1"/>
  <c r="G41" i="1"/>
  <c r="D41" i="1"/>
  <c r="M40" i="1"/>
  <c r="J40" i="1"/>
  <c r="G40" i="1"/>
  <c r="D40" i="1"/>
  <c r="M39" i="1"/>
  <c r="J39" i="1"/>
  <c r="G39" i="1"/>
  <c r="D39" i="1"/>
  <c r="M38" i="1"/>
  <c r="J38" i="1"/>
  <c r="G38" i="1"/>
  <c r="D38" i="1"/>
  <c r="M37" i="1"/>
  <c r="J37" i="1"/>
  <c r="G37" i="1"/>
  <c r="D37" i="1"/>
  <c r="M36" i="1"/>
  <c r="J36" i="1"/>
  <c r="G36" i="1"/>
  <c r="D36" i="1"/>
  <c r="M35" i="1"/>
  <c r="J35" i="1"/>
  <c r="G35" i="1"/>
  <c r="D35" i="1"/>
  <c r="M34" i="1"/>
  <c r="J34" i="1"/>
  <c r="G34" i="1"/>
  <c r="D34" i="1"/>
  <c r="M33" i="1"/>
  <c r="J33" i="1"/>
  <c r="G33" i="1"/>
  <c r="D33" i="1"/>
  <c r="M32" i="1"/>
  <c r="J32" i="1"/>
  <c r="G32" i="1"/>
  <c r="D32" i="1"/>
  <c r="M31" i="1"/>
  <c r="J31" i="1"/>
  <c r="G31" i="1"/>
  <c r="D31" i="1"/>
  <c r="M30" i="1"/>
  <c r="J30" i="1"/>
  <c r="G30" i="1"/>
  <c r="D30" i="1"/>
  <c r="M29" i="1"/>
  <c r="J29" i="1"/>
  <c r="G29" i="1"/>
  <c r="D29" i="1"/>
  <c r="M28" i="1"/>
  <c r="J28" i="1"/>
  <c r="G28" i="1"/>
  <c r="D28" i="1"/>
  <c r="M27" i="1"/>
  <c r="J27" i="1"/>
  <c r="G27" i="1"/>
  <c r="D27" i="1"/>
  <c r="M26" i="1"/>
  <c r="J26" i="1"/>
  <c r="G26" i="1"/>
  <c r="D26" i="1"/>
  <c r="M25" i="1"/>
  <c r="J25" i="1"/>
  <c r="G25" i="1"/>
  <c r="D25" i="1"/>
  <c r="M24" i="1"/>
  <c r="J24" i="1"/>
  <c r="G24" i="1"/>
  <c r="D24" i="1"/>
  <c r="M23" i="1"/>
  <c r="J23" i="1"/>
  <c r="G23" i="1"/>
  <c r="D23" i="1"/>
  <c r="M22" i="1"/>
  <c r="J22" i="1"/>
  <c r="G22" i="1"/>
  <c r="D22" i="1"/>
  <c r="M21" i="1"/>
  <c r="J21" i="1"/>
  <c r="G21" i="1"/>
  <c r="D21" i="1"/>
  <c r="M20" i="1"/>
  <c r="J20" i="1"/>
  <c r="G20" i="1"/>
  <c r="D20" i="1"/>
  <c r="M19" i="1"/>
  <c r="J19" i="1"/>
  <c r="G19" i="1"/>
  <c r="D19" i="1"/>
  <c r="M18" i="1"/>
  <c r="J18" i="1"/>
  <c r="G18" i="1"/>
  <c r="D18" i="1"/>
  <c r="M17" i="1"/>
  <c r="J17" i="1"/>
  <c r="G17" i="1"/>
  <c r="D17" i="1"/>
  <c r="M16" i="1"/>
  <c r="J16" i="1"/>
  <c r="G16" i="1"/>
  <c r="D16" i="1"/>
  <c r="M15" i="1"/>
  <c r="J15" i="1"/>
  <c r="G15" i="1"/>
  <c r="D15" i="1"/>
  <c r="M14" i="1"/>
  <c r="J14" i="1"/>
  <c r="G14" i="1"/>
  <c r="D14" i="1"/>
  <c r="M13" i="1"/>
  <c r="J13" i="1"/>
  <c r="G13" i="1"/>
  <c r="D13" i="1"/>
  <c r="M12" i="1"/>
  <c r="J12" i="1"/>
  <c r="G12" i="1"/>
  <c r="D12" i="1"/>
  <c r="M11" i="1"/>
  <c r="J11" i="1"/>
  <c r="G11" i="1"/>
  <c r="D11" i="1"/>
  <c r="M10" i="1"/>
  <c r="J10" i="1"/>
  <c r="G10" i="1"/>
  <c r="D10" i="1"/>
  <c r="M9" i="1"/>
  <c r="J9" i="1"/>
  <c r="G9" i="1"/>
  <c r="D9" i="1"/>
  <c r="M8" i="1"/>
  <c r="J8" i="1"/>
  <c r="G8" i="1"/>
  <c r="D8" i="1"/>
</calcChain>
</file>

<file path=xl/sharedStrings.xml><?xml version="1.0" encoding="utf-8"?>
<sst xmlns="http://schemas.openxmlformats.org/spreadsheetml/2006/main" count="1983" uniqueCount="61">
  <si>
    <t xml:space="preserve">Programa De Vacunacion Universal                     </t>
  </si>
  <si>
    <t>Cobertura de Vacunacion con Triple Viral SRP</t>
  </si>
  <si>
    <t>Municipios</t>
  </si>
  <si>
    <t>Durango</t>
  </si>
  <si>
    <t>Guadalupe Victoria</t>
  </si>
  <si>
    <t>Mezquital</t>
  </si>
  <si>
    <t>Nombre de Dios</t>
  </si>
  <si>
    <t>Panuco de Coronado</t>
  </si>
  <si>
    <t>Poanas</t>
  </si>
  <si>
    <t>Pueblo Nuevo</t>
  </si>
  <si>
    <t>San Dimas</t>
  </si>
  <si>
    <t>Suchil</t>
  </si>
  <si>
    <t>Tamazula</t>
  </si>
  <si>
    <t>Vicente Guerrero</t>
  </si>
  <si>
    <t>Cuencame</t>
  </si>
  <si>
    <t>General Simón Bolivar</t>
  </si>
  <si>
    <t>Gómez Palacio</t>
  </si>
  <si>
    <t>Lerdo</t>
  </si>
  <si>
    <t>Mapími</t>
  </si>
  <si>
    <t>Nazas</t>
  </si>
  <si>
    <t>Peñón Blanco</t>
  </si>
  <si>
    <t>San Juan de Guadalupe</t>
  </si>
  <si>
    <t>San Luis del Cordero</t>
  </si>
  <si>
    <t>San Pedro del Gallo</t>
  </si>
  <si>
    <t>Santa Clara</t>
  </si>
  <si>
    <t>Tlahualilo</t>
  </si>
  <si>
    <t>Canatlan</t>
  </si>
  <si>
    <t>Canelas</t>
  </si>
  <si>
    <t>Guanacevi</t>
  </si>
  <si>
    <t>Nuevo Ideal</t>
  </si>
  <si>
    <t>Otaez</t>
  </si>
  <si>
    <t>Santiago Papasquiaro</t>
  </si>
  <si>
    <t>Tepehuanes</t>
  </si>
  <si>
    <t>Topia</t>
  </si>
  <si>
    <t>Coneto de Comonfort</t>
  </si>
  <si>
    <t>El Oro</t>
  </si>
  <si>
    <t>Hidalgo</t>
  </si>
  <si>
    <t>Inde</t>
  </si>
  <si>
    <t>Ocampo</t>
  </si>
  <si>
    <t>Rodeo</t>
  </si>
  <si>
    <t>San Bernardo</t>
  </si>
  <si>
    <t>San Juan Ddel Río</t>
  </si>
  <si>
    <t>META</t>
  </si>
  <si>
    <t>DOSIS APLICADAS 6 AÑOS</t>
  </si>
  <si>
    <t>%</t>
  </si>
  <si>
    <t>DOSIS APLICADAS 12 MESES</t>
  </si>
  <si>
    <t xml:space="preserve">DOSIS APLICADAS 18 MESES </t>
  </si>
  <si>
    <t>Cobertura de vacunación 2025 con Triple Viral (SRP) y Doble Viral (SR) por Municipios de Durango.</t>
  </si>
  <si>
    <t xml:space="preserve">DOSIS APLICADAS </t>
  </si>
  <si>
    <t>Cobertura de Vacunacion con Doble Viral SR</t>
  </si>
  <si>
    <r>
      <t xml:space="preserve">Fuente: </t>
    </r>
    <r>
      <rPr>
        <sz val="11"/>
        <color rgb="FF000000"/>
        <rFont val="Calibri"/>
        <family val="2"/>
      </rPr>
      <t xml:space="preserve">Reporte de Dosis Aplicadas(RDA Distrital), Segundo trimestre 2025,  </t>
    </r>
  </si>
  <si>
    <t>Población CONAPO 2025.</t>
  </si>
  <si>
    <t xml:space="preserve">Archivo Piramide de población 2025 por Municipio. </t>
  </si>
  <si>
    <t>PROGRAMA DE VACUNACIÓN UNIVERSAL</t>
  </si>
  <si>
    <t xml:space="preserve">DOSIS CERO APLICADAS </t>
  </si>
  <si>
    <t>12 meses de edad</t>
  </si>
  <si>
    <t>18 meses de edad</t>
  </si>
  <si>
    <t>6 años de edad</t>
  </si>
  <si>
    <t>Cobertura de vacunación 2025 contra Sarampión por Municipios de Durango.</t>
  </si>
  <si>
    <t>Fuente: plataforma CeNSIA sarampión 2025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</si>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</sst>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theme="1"/>
      <name val="Montserrat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b/>
      <sz val="11"/>
      <color theme="1"/>
      <name val="Montserrat"/>
    </font>
    <font>
      <sz val="18"/>
      <color theme="1"/>
      <name val="Aptos Narrow"/>
      <family val="2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3" fontId="2" fillId="3" borderId="1" xfId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0" xfId="0" applyFill="1"/>
    <xf numFmtId="0" fontId="6" fillId="11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0" fillId="3" borderId="0" xfId="0" applyFill="1"/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7" fillId="3" borderId="0" xfId="0" applyFont="1" applyFill="1" applyAlignment="1">
      <alignment horizontal="left" vertic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vertical="center"/>
    </xf>
    <xf numFmtId="0" fontId="9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8" fillId="10" borderId="3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zoomScale="102" zoomScaleNormal="118" workbookViewId="0">
      <selection activeCell="M36" sqref="M36"/>
    </sheetView>
  </sheetViews>
  <sheetFormatPr baseColWidth="10" defaultRowHeight="14.5" x14ac:dyDescent="0.35"/>
  <cols>
    <col min="1" max="1" width="31.54296875" customWidth="1"/>
    <col min="2" max="2" width="24" customWidth="1"/>
    <col min="3" max="5" width="17.54296875" customWidth="1"/>
    <col min="6" max="8" width="18.54296875" customWidth="1"/>
    <col min="9" max="9" width="17.26953125" customWidth="1"/>
    <col min="10" max="10" width="19.7265625" customWidth="1"/>
    <col min="12" max="12" width="14.26953125" customWidth="1"/>
    <col min="13" max="13" width="15.81640625" customWidth="1"/>
  </cols>
  <sheetData>
    <row r="1" spans="1:13" x14ac:dyDescent="0.35">
      <c r="A1" t="s">
        <v>60</v>
      </c>
    </row>
    <row r="2" spans="1:13" ht="23.5" x14ac:dyDescent="0.55000000000000004">
      <c r="A2" s="36" t="s">
        <v>53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x14ac:dyDescent="0.35">
      <c r="A3" s="37" t="s">
        <v>47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ht="15" customHeight="1" x14ac:dyDescent="0.3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ht="15" customHeight="1" x14ac:dyDescent="0.35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x14ac:dyDescent="0.35">
      <c r="A6" s="39" t="s">
        <v>1</v>
      </c>
      <c r="B6" s="39"/>
      <c r="C6" s="39"/>
      <c r="D6" s="39"/>
      <c r="E6" s="39"/>
      <c r="F6" s="39"/>
      <c r="G6" s="39"/>
      <c r="H6" s="39"/>
      <c r="I6" s="39"/>
      <c r="J6" s="39"/>
      <c r="K6" s="42" t="s">
        <v>49</v>
      </c>
      <c r="L6" s="42"/>
      <c r="M6" s="42"/>
    </row>
    <row r="7" spans="1:13" ht="36.75" customHeight="1" x14ac:dyDescent="0.35">
      <c r="A7" s="5" t="s">
        <v>2</v>
      </c>
      <c r="B7" s="5" t="s">
        <v>42</v>
      </c>
      <c r="C7" s="6" t="s">
        <v>45</v>
      </c>
      <c r="D7" s="6" t="s">
        <v>44</v>
      </c>
      <c r="E7" s="5" t="s">
        <v>42</v>
      </c>
      <c r="F7" s="6" t="s">
        <v>46</v>
      </c>
      <c r="G7" s="6" t="s">
        <v>44</v>
      </c>
      <c r="H7" s="5" t="s">
        <v>42</v>
      </c>
      <c r="I7" s="6" t="s">
        <v>43</v>
      </c>
      <c r="J7" s="5" t="s">
        <v>44</v>
      </c>
      <c r="K7" s="5" t="s">
        <v>42</v>
      </c>
      <c r="L7" s="6" t="s">
        <v>48</v>
      </c>
      <c r="M7" s="5" t="s">
        <v>44</v>
      </c>
    </row>
    <row r="8" spans="1:13" ht="16.5" x14ac:dyDescent="0.45">
      <c r="A8" s="1" t="s">
        <v>3</v>
      </c>
      <c r="B8" s="11">
        <v>8431</v>
      </c>
      <c r="C8" s="7">
        <v>3149</v>
      </c>
      <c r="D8" s="20">
        <f>SUM(C8/B8*100)</f>
        <v>37.35025501126794</v>
      </c>
      <c r="E8" s="11">
        <v>8431</v>
      </c>
      <c r="F8" s="8">
        <v>2925</v>
      </c>
      <c r="G8" s="12">
        <f>SUM(F8/E8*100)</f>
        <v>34.693393429011984</v>
      </c>
      <c r="H8" s="8">
        <v>10719</v>
      </c>
      <c r="I8" s="8">
        <v>4073</v>
      </c>
      <c r="J8" s="10">
        <f>SUM(I8/H8*100)</f>
        <v>37.997947569735985</v>
      </c>
      <c r="K8" s="8"/>
      <c r="L8" s="8">
        <v>11147</v>
      </c>
      <c r="M8" s="7" t="e">
        <f>SUM(L8/K8*100)</f>
        <v>#DIV/0!</v>
      </c>
    </row>
    <row r="9" spans="1:13" ht="16.5" x14ac:dyDescent="0.45">
      <c r="A9" s="1" t="s">
        <v>4</v>
      </c>
      <c r="B9" s="11">
        <v>576</v>
      </c>
      <c r="C9" s="9">
        <v>192</v>
      </c>
      <c r="D9" s="20">
        <f t="shared" ref="D9:D46" si="0">SUM(C9/B9*100)</f>
        <v>33.333333333333329</v>
      </c>
      <c r="E9" s="11">
        <v>576</v>
      </c>
      <c r="F9" s="9">
        <v>147</v>
      </c>
      <c r="G9" s="12">
        <f t="shared" ref="G9:G46" si="1">SUM(F9/E9*100)</f>
        <v>25.520833333333332</v>
      </c>
      <c r="H9" s="9">
        <v>657</v>
      </c>
      <c r="I9" s="9">
        <v>190</v>
      </c>
      <c r="J9" s="10">
        <f t="shared" ref="J9:J46" si="2">SUM(I9/H9*100)</f>
        <v>28.919330289193301</v>
      </c>
      <c r="K9" s="9"/>
      <c r="L9" s="9">
        <v>609</v>
      </c>
      <c r="M9" s="7" t="e">
        <f t="shared" ref="M9:M46" si="3">SUM(L9/K9*100)</f>
        <v>#DIV/0!</v>
      </c>
    </row>
    <row r="10" spans="1:13" ht="16.5" x14ac:dyDescent="0.45">
      <c r="A10" s="1" t="s">
        <v>5</v>
      </c>
      <c r="B10" s="11">
        <v>1425</v>
      </c>
      <c r="C10" s="9">
        <v>404</v>
      </c>
      <c r="D10" s="20">
        <f t="shared" si="0"/>
        <v>28.350877192982455</v>
      </c>
      <c r="E10" s="11">
        <v>1425</v>
      </c>
      <c r="F10" s="9">
        <v>246</v>
      </c>
      <c r="G10" s="12">
        <f t="shared" si="1"/>
        <v>17.263157894736842</v>
      </c>
      <c r="H10" s="9">
        <v>1082</v>
      </c>
      <c r="I10" s="9">
        <v>268</v>
      </c>
      <c r="J10" s="10">
        <f t="shared" si="2"/>
        <v>24.76894639556377</v>
      </c>
      <c r="K10" s="9"/>
      <c r="L10" s="9">
        <v>1037</v>
      </c>
      <c r="M10" s="7" t="e">
        <f t="shared" si="3"/>
        <v>#DIV/0!</v>
      </c>
    </row>
    <row r="11" spans="1:13" ht="16.5" x14ac:dyDescent="0.45">
      <c r="A11" s="1" t="s">
        <v>6</v>
      </c>
      <c r="B11" s="11">
        <v>488</v>
      </c>
      <c r="C11" s="9">
        <v>116</v>
      </c>
      <c r="D11" s="20">
        <f t="shared" si="0"/>
        <v>23.770491803278688</v>
      </c>
      <c r="E11" s="11">
        <v>488</v>
      </c>
      <c r="F11" s="9">
        <v>97</v>
      </c>
      <c r="G11" s="12">
        <f t="shared" si="1"/>
        <v>19.877049180327869</v>
      </c>
      <c r="H11" s="9">
        <v>514</v>
      </c>
      <c r="I11" s="9">
        <v>150</v>
      </c>
      <c r="J11" s="10">
        <f t="shared" si="2"/>
        <v>29.18287937743191</v>
      </c>
      <c r="K11" s="9"/>
      <c r="L11" s="9">
        <v>331</v>
      </c>
      <c r="M11" s="7" t="e">
        <f t="shared" si="3"/>
        <v>#DIV/0!</v>
      </c>
    </row>
    <row r="12" spans="1:13" ht="16.5" x14ac:dyDescent="0.45">
      <c r="A12" s="1" t="s">
        <v>7</v>
      </c>
      <c r="B12" s="11">
        <v>224</v>
      </c>
      <c r="C12" s="9">
        <v>65</v>
      </c>
      <c r="D12" s="20">
        <f t="shared" si="0"/>
        <v>29.017857142857146</v>
      </c>
      <c r="E12" s="11">
        <v>224</v>
      </c>
      <c r="F12" s="9">
        <v>70</v>
      </c>
      <c r="G12" s="12">
        <f t="shared" si="1"/>
        <v>31.25</v>
      </c>
      <c r="H12" s="9">
        <v>243</v>
      </c>
      <c r="I12" s="9">
        <v>111</v>
      </c>
      <c r="J12" s="10">
        <f t="shared" si="2"/>
        <v>45.679012345679013</v>
      </c>
      <c r="K12" s="9"/>
      <c r="L12" s="9">
        <v>118</v>
      </c>
      <c r="M12" s="7" t="e">
        <f t="shared" si="3"/>
        <v>#DIV/0!</v>
      </c>
    </row>
    <row r="13" spans="1:13" ht="16.5" x14ac:dyDescent="0.45">
      <c r="A13" s="1" t="s">
        <v>8</v>
      </c>
      <c r="B13" s="11">
        <v>135</v>
      </c>
      <c r="C13" s="9">
        <v>62</v>
      </c>
      <c r="D13" s="20">
        <f t="shared" si="0"/>
        <v>45.925925925925924</v>
      </c>
      <c r="E13" s="11">
        <v>135</v>
      </c>
      <c r="F13" s="9">
        <v>72</v>
      </c>
      <c r="G13" s="12">
        <f t="shared" si="1"/>
        <v>53.333333333333336</v>
      </c>
      <c r="H13" s="9">
        <v>190</v>
      </c>
      <c r="I13" s="9">
        <v>92</v>
      </c>
      <c r="J13" s="10">
        <f t="shared" si="2"/>
        <v>48.421052631578945</v>
      </c>
      <c r="K13" s="9"/>
      <c r="L13" s="9">
        <v>98</v>
      </c>
      <c r="M13" s="7" t="e">
        <f t="shared" si="3"/>
        <v>#DIV/0!</v>
      </c>
    </row>
    <row r="14" spans="1:13" ht="16.5" x14ac:dyDescent="0.45">
      <c r="A14" s="1" t="s">
        <v>9</v>
      </c>
      <c r="B14" s="11">
        <v>1283</v>
      </c>
      <c r="C14" s="9">
        <v>441</v>
      </c>
      <c r="D14" s="20">
        <f t="shared" si="0"/>
        <v>34.372564302416215</v>
      </c>
      <c r="E14" s="11">
        <v>1283</v>
      </c>
      <c r="F14" s="9">
        <v>349</v>
      </c>
      <c r="G14" s="12">
        <f t="shared" si="1"/>
        <v>27.201870615744351</v>
      </c>
      <c r="H14" s="9">
        <v>1399</v>
      </c>
      <c r="I14" s="9">
        <v>428</v>
      </c>
      <c r="J14" s="10">
        <f t="shared" si="2"/>
        <v>30.593280914939243</v>
      </c>
      <c r="K14" s="9"/>
      <c r="L14" s="9">
        <v>1656</v>
      </c>
      <c r="M14" s="7" t="e">
        <f t="shared" si="3"/>
        <v>#DIV/0!</v>
      </c>
    </row>
    <row r="15" spans="1:13" ht="16.5" x14ac:dyDescent="0.45">
      <c r="A15" s="1" t="s">
        <v>10</v>
      </c>
      <c r="B15" s="11">
        <v>581</v>
      </c>
      <c r="C15" s="9">
        <v>96</v>
      </c>
      <c r="D15" s="20">
        <f t="shared" si="0"/>
        <v>16.523235800344235</v>
      </c>
      <c r="E15" s="11">
        <v>581</v>
      </c>
      <c r="F15" s="9">
        <v>110</v>
      </c>
      <c r="G15" s="12">
        <f t="shared" si="1"/>
        <v>18.9328743545611</v>
      </c>
      <c r="H15" s="9">
        <v>608</v>
      </c>
      <c r="I15" s="9">
        <v>102</v>
      </c>
      <c r="J15" s="10">
        <f t="shared" si="2"/>
        <v>16.776315789473685</v>
      </c>
      <c r="K15" s="9"/>
      <c r="L15" s="9">
        <v>892</v>
      </c>
      <c r="M15" s="7" t="e">
        <f t="shared" si="3"/>
        <v>#DIV/0!</v>
      </c>
    </row>
    <row r="16" spans="1:13" ht="16.5" x14ac:dyDescent="0.45">
      <c r="A16" s="1" t="s">
        <v>11</v>
      </c>
      <c r="B16" s="11">
        <v>166</v>
      </c>
      <c r="C16" s="9">
        <v>41</v>
      </c>
      <c r="D16" s="20">
        <f t="shared" si="0"/>
        <v>24.69879518072289</v>
      </c>
      <c r="E16" s="11">
        <v>166</v>
      </c>
      <c r="F16" s="9">
        <v>43</v>
      </c>
      <c r="G16" s="12">
        <f t="shared" si="1"/>
        <v>25.903614457831324</v>
      </c>
      <c r="H16" s="9">
        <v>177</v>
      </c>
      <c r="I16" s="9">
        <v>54</v>
      </c>
      <c r="J16" s="10">
        <f t="shared" si="2"/>
        <v>30.508474576271187</v>
      </c>
      <c r="K16" s="9"/>
      <c r="L16" s="9">
        <v>104</v>
      </c>
      <c r="M16" s="7" t="e">
        <f t="shared" si="3"/>
        <v>#DIV/0!</v>
      </c>
    </row>
    <row r="17" spans="1:13" ht="16.5" x14ac:dyDescent="0.45">
      <c r="A17" s="1" t="s">
        <v>12</v>
      </c>
      <c r="B17" s="11">
        <v>952</v>
      </c>
      <c r="C17" s="9">
        <v>48</v>
      </c>
      <c r="D17" s="20">
        <f t="shared" si="0"/>
        <v>5.0420168067226889</v>
      </c>
      <c r="E17" s="11">
        <v>952</v>
      </c>
      <c r="F17" s="9">
        <v>108</v>
      </c>
      <c r="G17" s="12">
        <f t="shared" si="1"/>
        <v>11.344537815126051</v>
      </c>
      <c r="H17" s="9">
        <v>851</v>
      </c>
      <c r="I17" s="9">
        <v>156</v>
      </c>
      <c r="J17" s="10">
        <f t="shared" si="2"/>
        <v>18.331374853113982</v>
      </c>
      <c r="K17" s="9"/>
      <c r="L17" s="9">
        <v>2056</v>
      </c>
      <c r="M17" s="7" t="e">
        <f t="shared" si="3"/>
        <v>#DIV/0!</v>
      </c>
    </row>
    <row r="18" spans="1:13" ht="16.5" x14ac:dyDescent="0.45">
      <c r="A18" s="1" t="s">
        <v>13</v>
      </c>
      <c r="B18" s="11">
        <v>403</v>
      </c>
      <c r="C18" s="9">
        <v>181</v>
      </c>
      <c r="D18" s="20">
        <f t="shared" si="0"/>
        <v>44.913151364764268</v>
      </c>
      <c r="E18" s="11">
        <v>403</v>
      </c>
      <c r="F18" s="9">
        <v>153</v>
      </c>
      <c r="G18" s="12">
        <f t="shared" si="1"/>
        <v>37.965260545905707</v>
      </c>
      <c r="H18" s="9">
        <v>254</v>
      </c>
      <c r="I18" s="9">
        <v>157</v>
      </c>
      <c r="J18" s="10">
        <f t="shared" si="2"/>
        <v>61.811023622047244</v>
      </c>
      <c r="K18" s="9"/>
      <c r="L18" s="9">
        <v>247</v>
      </c>
      <c r="M18" s="7" t="e">
        <f t="shared" si="3"/>
        <v>#DIV/0!</v>
      </c>
    </row>
    <row r="19" spans="1:13" ht="16.5" x14ac:dyDescent="0.45">
      <c r="A19" s="2" t="s">
        <v>14</v>
      </c>
      <c r="B19" s="11">
        <v>643</v>
      </c>
      <c r="C19" s="9">
        <v>297</v>
      </c>
      <c r="D19" s="20">
        <f t="shared" si="0"/>
        <v>46.189735614307928</v>
      </c>
      <c r="E19" s="11">
        <v>643</v>
      </c>
      <c r="F19" s="9">
        <v>224</v>
      </c>
      <c r="G19" s="12">
        <f t="shared" si="1"/>
        <v>34.836702954898911</v>
      </c>
      <c r="H19" s="9">
        <v>843</v>
      </c>
      <c r="I19" s="9">
        <v>391</v>
      </c>
      <c r="J19" s="10">
        <f t="shared" si="2"/>
        <v>46.381969157769873</v>
      </c>
      <c r="K19" s="9"/>
      <c r="L19" s="9">
        <v>881</v>
      </c>
      <c r="M19" s="7" t="e">
        <f t="shared" si="3"/>
        <v>#DIV/0!</v>
      </c>
    </row>
    <row r="20" spans="1:13" ht="16.5" x14ac:dyDescent="0.45">
      <c r="A20" s="2" t="s">
        <v>15</v>
      </c>
      <c r="B20" s="11">
        <v>236</v>
      </c>
      <c r="C20" s="9">
        <v>76</v>
      </c>
      <c r="D20" s="20">
        <f t="shared" si="0"/>
        <v>32.20338983050847</v>
      </c>
      <c r="E20" s="11">
        <v>236</v>
      </c>
      <c r="F20" s="9">
        <v>69</v>
      </c>
      <c r="G20" s="12">
        <f t="shared" si="1"/>
        <v>29.237288135593221</v>
      </c>
      <c r="H20" s="9">
        <v>231</v>
      </c>
      <c r="I20" s="9">
        <v>86</v>
      </c>
      <c r="J20" s="10">
        <f t="shared" si="2"/>
        <v>37.229437229437231</v>
      </c>
      <c r="K20" s="9"/>
      <c r="L20" s="9">
        <v>235</v>
      </c>
      <c r="M20" s="7" t="e">
        <f t="shared" si="3"/>
        <v>#DIV/0!</v>
      </c>
    </row>
    <row r="21" spans="1:13" ht="16.5" x14ac:dyDescent="0.45">
      <c r="A21" s="2" t="s">
        <v>16</v>
      </c>
      <c r="B21" s="11">
        <v>5736</v>
      </c>
      <c r="C21" s="9">
        <v>2844</v>
      </c>
      <c r="D21" s="20">
        <f t="shared" si="0"/>
        <v>49.581589958158993</v>
      </c>
      <c r="E21" s="11">
        <v>5736</v>
      </c>
      <c r="F21" s="9">
        <v>2545</v>
      </c>
      <c r="G21" s="12">
        <f t="shared" si="1"/>
        <v>44.368898186889822</v>
      </c>
      <c r="H21" s="9">
        <v>6878</v>
      </c>
      <c r="I21" s="9">
        <v>3082</v>
      </c>
      <c r="J21" s="10">
        <f t="shared" si="2"/>
        <v>44.809537656295433</v>
      </c>
      <c r="K21" s="9"/>
      <c r="L21" s="9">
        <v>7131</v>
      </c>
      <c r="M21" s="7" t="e">
        <f t="shared" si="3"/>
        <v>#DIV/0!</v>
      </c>
    </row>
    <row r="22" spans="1:13" ht="16.5" x14ac:dyDescent="0.45">
      <c r="A22" s="2" t="s">
        <v>17</v>
      </c>
      <c r="B22" s="11">
        <v>2230</v>
      </c>
      <c r="C22" s="9">
        <v>1068</v>
      </c>
      <c r="D22" s="20">
        <f t="shared" si="0"/>
        <v>47.892376681614351</v>
      </c>
      <c r="E22" s="11">
        <v>2230</v>
      </c>
      <c r="F22" s="9">
        <v>986</v>
      </c>
      <c r="G22" s="12">
        <f t="shared" si="1"/>
        <v>44.215246636771298</v>
      </c>
      <c r="H22" s="9">
        <v>2609</v>
      </c>
      <c r="I22" s="9">
        <v>1162</v>
      </c>
      <c r="J22" s="10">
        <f t="shared" si="2"/>
        <v>44.538137217324646</v>
      </c>
      <c r="K22" s="9"/>
      <c r="L22" s="9">
        <v>3456</v>
      </c>
      <c r="M22" s="7" t="e">
        <f t="shared" si="3"/>
        <v>#DIV/0!</v>
      </c>
    </row>
    <row r="23" spans="1:13" ht="16.5" x14ac:dyDescent="0.45">
      <c r="A23" s="2" t="s">
        <v>18</v>
      </c>
      <c r="B23" s="11">
        <v>543</v>
      </c>
      <c r="C23" s="9">
        <v>241</v>
      </c>
      <c r="D23" s="20">
        <f t="shared" si="0"/>
        <v>44.383057090239411</v>
      </c>
      <c r="E23" s="11">
        <v>543</v>
      </c>
      <c r="F23" s="9">
        <v>245</v>
      </c>
      <c r="G23" s="12">
        <f t="shared" si="1"/>
        <v>45.119705340699817</v>
      </c>
      <c r="H23" s="9">
        <v>634</v>
      </c>
      <c r="I23" s="9">
        <v>324</v>
      </c>
      <c r="J23" s="10">
        <f t="shared" si="2"/>
        <v>51.104100946372242</v>
      </c>
      <c r="K23" s="9"/>
      <c r="L23" s="9">
        <v>1232</v>
      </c>
      <c r="M23" s="7" t="e">
        <f t="shared" si="3"/>
        <v>#DIV/0!</v>
      </c>
    </row>
    <row r="24" spans="1:13" ht="16.5" x14ac:dyDescent="0.45">
      <c r="A24" s="2" t="s">
        <v>19</v>
      </c>
      <c r="B24" s="11">
        <v>284</v>
      </c>
      <c r="C24" s="9">
        <v>158</v>
      </c>
      <c r="D24" s="20">
        <f t="shared" si="0"/>
        <v>55.633802816901415</v>
      </c>
      <c r="E24" s="11">
        <v>284</v>
      </c>
      <c r="F24" s="9">
        <v>130</v>
      </c>
      <c r="G24" s="12">
        <f t="shared" si="1"/>
        <v>45.774647887323944</v>
      </c>
      <c r="H24" s="9">
        <v>376</v>
      </c>
      <c r="I24" s="9">
        <v>225</v>
      </c>
      <c r="J24" s="10">
        <f t="shared" si="2"/>
        <v>59.840425531914896</v>
      </c>
      <c r="K24" s="9"/>
      <c r="L24" s="9">
        <v>416</v>
      </c>
      <c r="M24" s="7" t="e">
        <f t="shared" si="3"/>
        <v>#DIV/0!</v>
      </c>
    </row>
    <row r="25" spans="1:13" ht="16.5" x14ac:dyDescent="0.45">
      <c r="A25" s="2" t="s">
        <v>20</v>
      </c>
      <c r="B25" s="11">
        <v>220</v>
      </c>
      <c r="C25" s="9">
        <v>74</v>
      </c>
      <c r="D25" s="20">
        <f t="shared" si="0"/>
        <v>33.636363636363633</v>
      </c>
      <c r="E25" s="11">
        <v>220</v>
      </c>
      <c r="F25" s="9">
        <v>96</v>
      </c>
      <c r="G25" s="12">
        <f t="shared" si="1"/>
        <v>43.636363636363633</v>
      </c>
      <c r="H25" s="9">
        <v>212</v>
      </c>
      <c r="I25" s="9">
        <v>150</v>
      </c>
      <c r="J25" s="10">
        <f t="shared" si="2"/>
        <v>70.754716981132077</v>
      </c>
      <c r="K25" s="9"/>
      <c r="L25" s="9">
        <v>15</v>
      </c>
      <c r="M25" s="7" t="e">
        <f t="shared" si="3"/>
        <v>#DIV/0!</v>
      </c>
    </row>
    <row r="26" spans="1:13" ht="16.5" x14ac:dyDescent="0.45">
      <c r="A26" s="2" t="s">
        <v>21</v>
      </c>
      <c r="B26" s="11">
        <v>228</v>
      </c>
      <c r="C26" s="9">
        <v>92</v>
      </c>
      <c r="D26" s="20">
        <f t="shared" si="0"/>
        <v>40.350877192982452</v>
      </c>
      <c r="E26" s="11">
        <v>228</v>
      </c>
      <c r="F26" s="9">
        <v>63</v>
      </c>
      <c r="G26" s="12">
        <f t="shared" si="1"/>
        <v>27.631578947368425</v>
      </c>
      <c r="H26" s="9">
        <v>219</v>
      </c>
      <c r="I26" s="9">
        <v>98</v>
      </c>
      <c r="J26" s="10">
        <f t="shared" si="2"/>
        <v>44.74885844748858</v>
      </c>
      <c r="K26" s="9"/>
      <c r="L26" s="9">
        <v>651</v>
      </c>
      <c r="M26" s="7" t="e">
        <f t="shared" si="3"/>
        <v>#DIV/0!</v>
      </c>
    </row>
    <row r="27" spans="1:13" ht="16.5" x14ac:dyDescent="0.45">
      <c r="A27" s="2" t="s">
        <v>22</v>
      </c>
      <c r="B27" s="11">
        <v>33</v>
      </c>
      <c r="C27" s="9">
        <v>29</v>
      </c>
      <c r="D27" s="20">
        <f t="shared" si="0"/>
        <v>87.878787878787875</v>
      </c>
      <c r="E27" s="11">
        <v>33</v>
      </c>
      <c r="F27" s="9">
        <v>13</v>
      </c>
      <c r="G27" s="12">
        <f t="shared" si="1"/>
        <v>39.393939393939391</v>
      </c>
      <c r="H27" s="9">
        <v>38</v>
      </c>
      <c r="I27" s="9">
        <v>3</v>
      </c>
      <c r="J27" s="10">
        <f t="shared" si="2"/>
        <v>7.8947368421052628</v>
      </c>
      <c r="K27" s="9"/>
      <c r="L27" s="9">
        <v>150</v>
      </c>
      <c r="M27" s="7" t="e">
        <f t="shared" si="3"/>
        <v>#DIV/0!</v>
      </c>
    </row>
    <row r="28" spans="1:13" ht="16.5" x14ac:dyDescent="0.45">
      <c r="A28" s="2" t="s">
        <v>23</v>
      </c>
      <c r="B28" s="11">
        <v>38</v>
      </c>
      <c r="C28" s="9">
        <v>12</v>
      </c>
      <c r="D28" s="20">
        <f t="shared" si="0"/>
        <v>31.578947368421051</v>
      </c>
      <c r="E28" s="11">
        <v>38</v>
      </c>
      <c r="F28" s="9">
        <v>4</v>
      </c>
      <c r="G28" s="12">
        <f t="shared" si="1"/>
        <v>10.526315789473683</v>
      </c>
      <c r="H28" s="9">
        <v>41</v>
      </c>
      <c r="I28" s="9">
        <v>6</v>
      </c>
      <c r="J28" s="10">
        <f t="shared" si="2"/>
        <v>14.634146341463413</v>
      </c>
      <c r="K28" s="9"/>
      <c r="L28" s="9">
        <v>80</v>
      </c>
      <c r="M28" s="7" t="e">
        <f t="shared" si="3"/>
        <v>#DIV/0!</v>
      </c>
    </row>
    <row r="29" spans="1:13" ht="16.5" x14ac:dyDescent="0.45">
      <c r="A29" s="2" t="s">
        <v>24</v>
      </c>
      <c r="B29" s="11">
        <v>130</v>
      </c>
      <c r="C29" s="9">
        <v>26</v>
      </c>
      <c r="D29" s="20">
        <f t="shared" si="0"/>
        <v>20</v>
      </c>
      <c r="E29" s="11">
        <v>130</v>
      </c>
      <c r="F29" s="9">
        <v>54</v>
      </c>
      <c r="G29" s="12">
        <f t="shared" si="1"/>
        <v>41.53846153846154</v>
      </c>
      <c r="H29" s="9">
        <v>140</v>
      </c>
      <c r="I29" s="9">
        <v>58</v>
      </c>
      <c r="J29" s="10">
        <f t="shared" si="2"/>
        <v>41.428571428571431</v>
      </c>
      <c r="K29" s="9"/>
      <c r="L29" s="9">
        <v>111</v>
      </c>
      <c r="M29" s="7" t="e">
        <f t="shared" si="3"/>
        <v>#DIV/0!</v>
      </c>
    </row>
    <row r="30" spans="1:13" ht="16.5" x14ac:dyDescent="0.45">
      <c r="A30" s="2" t="s">
        <v>25</v>
      </c>
      <c r="B30" s="11">
        <v>278</v>
      </c>
      <c r="C30" s="9">
        <v>175</v>
      </c>
      <c r="D30" s="20">
        <f t="shared" si="0"/>
        <v>62.949640287769782</v>
      </c>
      <c r="E30" s="11">
        <v>278</v>
      </c>
      <c r="F30" s="9">
        <v>176</v>
      </c>
      <c r="G30" s="12">
        <f t="shared" si="1"/>
        <v>63.309352517985609</v>
      </c>
      <c r="H30" s="9">
        <v>348</v>
      </c>
      <c r="I30" s="9">
        <v>2015</v>
      </c>
      <c r="J30" s="10">
        <f t="shared" si="2"/>
        <v>579.02298850574709</v>
      </c>
      <c r="K30" s="9"/>
      <c r="L30" s="9">
        <v>432</v>
      </c>
      <c r="M30" s="7" t="e">
        <f t="shared" si="3"/>
        <v>#DIV/0!</v>
      </c>
    </row>
    <row r="31" spans="1:13" ht="16.5" x14ac:dyDescent="0.45">
      <c r="A31" s="3" t="s">
        <v>26</v>
      </c>
      <c r="B31" s="11">
        <v>499</v>
      </c>
      <c r="C31" s="9">
        <v>165</v>
      </c>
      <c r="D31" s="20">
        <f t="shared" si="0"/>
        <v>33.06613226452906</v>
      </c>
      <c r="E31" s="11">
        <v>499</v>
      </c>
      <c r="F31" s="9">
        <v>139</v>
      </c>
      <c r="G31" s="12">
        <f t="shared" si="1"/>
        <v>27.85571142284569</v>
      </c>
      <c r="H31" s="9">
        <v>560</v>
      </c>
      <c r="I31" s="9">
        <v>224</v>
      </c>
      <c r="J31" s="10">
        <f t="shared" si="2"/>
        <v>40</v>
      </c>
      <c r="K31" s="9"/>
      <c r="L31" s="9">
        <v>682</v>
      </c>
      <c r="M31" s="7" t="e">
        <f t="shared" si="3"/>
        <v>#DIV/0!</v>
      </c>
    </row>
    <row r="32" spans="1:13" ht="16.5" x14ac:dyDescent="0.45">
      <c r="A32" s="3" t="s">
        <v>27</v>
      </c>
      <c r="B32" s="11">
        <v>54</v>
      </c>
      <c r="C32" s="9">
        <v>20</v>
      </c>
      <c r="D32" s="20">
        <f t="shared" si="0"/>
        <v>37.037037037037038</v>
      </c>
      <c r="E32" s="11">
        <v>54</v>
      </c>
      <c r="F32" s="9">
        <v>20</v>
      </c>
      <c r="G32" s="12">
        <f t="shared" si="1"/>
        <v>37.037037037037038</v>
      </c>
      <c r="H32" s="9">
        <v>51</v>
      </c>
      <c r="I32" s="9">
        <v>27</v>
      </c>
      <c r="J32" s="10">
        <f t="shared" si="2"/>
        <v>52.941176470588239</v>
      </c>
      <c r="K32" s="9"/>
      <c r="L32" s="9">
        <v>80</v>
      </c>
      <c r="M32" s="7" t="e">
        <f t="shared" si="3"/>
        <v>#DIV/0!</v>
      </c>
    </row>
    <row r="33" spans="1:13" ht="16.5" x14ac:dyDescent="0.45">
      <c r="A33" s="3" t="s">
        <v>28</v>
      </c>
      <c r="B33" s="11">
        <v>137</v>
      </c>
      <c r="C33" s="9">
        <v>61</v>
      </c>
      <c r="D33" s="20">
        <f t="shared" si="0"/>
        <v>44.525547445255476</v>
      </c>
      <c r="E33" s="11">
        <v>137</v>
      </c>
      <c r="F33" s="9">
        <v>45</v>
      </c>
      <c r="G33" s="12">
        <f t="shared" si="1"/>
        <v>32.846715328467155</v>
      </c>
      <c r="H33" s="9">
        <v>184</v>
      </c>
      <c r="I33" s="9">
        <v>80</v>
      </c>
      <c r="J33" s="10">
        <f t="shared" si="2"/>
        <v>43.478260869565219</v>
      </c>
      <c r="K33" s="9"/>
      <c r="L33" s="9">
        <v>252</v>
      </c>
      <c r="M33" s="7" t="e">
        <f t="shared" si="3"/>
        <v>#DIV/0!</v>
      </c>
    </row>
    <row r="34" spans="1:13" ht="16.5" x14ac:dyDescent="0.45">
      <c r="A34" s="3" t="s">
        <v>29</v>
      </c>
      <c r="B34" s="11">
        <v>443</v>
      </c>
      <c r="C34" s="9">
        <v>291</v>
      </c>
      <c r="D34" s="20">
        <f t="shared" si="0"/>
        <v>65.688487584650119</v>
      </c>
      <c r="E34" s="11">
        <v>443</v>
      </c>
      <c r="F34" s="9">
        <v>196</v>
      </c>
      <c r="G34" s="12">
        <f t="shared" si="1"/>
        <v>44.243792325056432</v>
      </c>
      <c r="H34" s="9">
        <v>425</v>
      </c>
      <c r="I34" s="9">
        <v>341</v>
      </c>
      <c r="J34" s="10">
        <f t="shared" si="2"/>
        <v>80.235294117647058</v>
      </c>
      <c r="K34" s="9"/>
      <c r="L34" s="9">
        <v>1308</v>
      </c>
      <c r="M34" s="7" t="e">
        <f t="shared" si="3"/>
        <v>#DIV/0!</v>
      </c>
    </row>
    <row r="35" spans="1:13" ht="16.5" x14ac:dyDescent="0.45">
      <c r="A35" s="3" t="s">
        <v>30</v>
      </c>
      <c r="B35" s="11">
        <v>99</v>
      </c>
      <c r="C35" s="9">
        <v>24</v>
      </c>
      <c r="D35" s="20">
        <f t="shared" si="0"/>
        <v>24.242424242424242</v>
      </c>
      <c r="E35" s="11">
        <v>99</v>
      </c>
      <c r="F35" s="9">
        <v>19</v>
      </c>
      <c r="G35" s="12">
        <f t="shared" si="1"/>
        <v>19.19191919191919</v>
      </c>
      <c r="H35" s="9">
        <v>95</v>
      </c>
      <c r="I35" s="9">
        <v>30</v>
      </c>
      <c r="J35" s="10">
        <f t="shared" si="2"/>
        <v>31.578947368421051</v>
      </c>
      <c r="K35" s="9"/>
      <c r="L35" s="9">
        <v>89</v>
      </c>
      <c r="M35" s="7" t="e">
        <f t="shared" si="3"/>
        <v>#DIV/0!</v>
      </c>
    </row>
    <row r="36" spans="1:13" ht="16.5" x14ac:dyDescent="0.45">
      <c r="A36" s="3" t="s">
        <v>31</v>
      </c>
      <c r="B36" s="11">
        <v>1467</v>
      </c>
      <c r="C36" s="9">
        <v>318</v>
      </c>
      <c r="D36" s="20">
        <f t="shared" si="0"/>
        <v>21.676891615541923</v>
      </c>
      <c r="E36" s="11">
        <v>1467</v>
      </c>
      <c r="F36" s="9">
        <v>389</v>
      </c>
      <c r="G36" s="12">
        <f t="shared" si="1"/>
        <v>26.516700749829585</v>
      </c>
      <c r="H36" s="9">
        <v>1144</v>
      </c>
      <c r="I36" s="9">
        <v>321</v>
      </c>
      <c r="J36" s="10">
        <f t="shared" si="2"/>
        <v>28.059440559440556</v>
      </c>
      <c r="K36" s="9"/>
      <c r="L36" s="9">
        <v>1741</v>
      </c>
      <c r="M36" s="7" t="e">
        <f t="shared" si="3"/>
        <v>#DIV/0!</v>
      </c>
    </row>
    <row r="37" spans="1:13" ht="16.5" x14ac:dyDescent="0.45">
      <c r="A37" s="3" t="s">
        <v>32</v>
      </c>
      <c r="B37" s="11">
        <v>30</v>
      </c>
      <c r="C37" s="9">
        <v>11</v>
      </c>
      <c r="D37" s="20">
        <f t="shared" si="0"/>
        <v>36.666666666666664</v>
      </c>
      <c r="E37" s="11">
        <v>30</v>
      </c>
      <c r="F37" s="9">
        <v>7</v>
      </c>
      <c r="G37" s="12">
        <f t="shared" si="1"/>
        <v>23.333333333333332</v>
      </c>
      <c r="H37" s="9">
        <v>50</v>
      </c>
      <c r="I37" s="9">
        <v>40</v>
      </c>
      <c r="J37" s="10">
        <f t="shared" si="2"/>
        <v>80</v>
      </c>
      <c r="K37" s="9"/>
      <c r="L37" s="9">
        <v>372</v>
      </c>
      <c r="M37" s="7" t="e">
        <f t="shared" si="3"/>
        <v>#DIV/0!</v>
      </c>
    </row>
    <row r="38" spans="1:13" ht="16.5" x14ac:dyDescent="0.45">
      <c r="A38" s="3" t="s">
        <v>33</v>
      </c>
      <c r="B38" s="11">
        <v>112</v>
      </c>
      <c r="C38" s="9">
        <v>43</v>
      </c>
      <c r="D38" s="20">
        <f t="shared" si="0"/>
        <v>38.392857142857146</v>
      </c>
      <c r="E38" s="11">
        <v>112</v>
      </c>
      <c r="F38" s="9">
        <v>1</v>
      </c>
      <c r="G38" s="12">
        <f t="shared" si="1"/>
        <v>0.89285714285714279</v>
      </c>
      <c r="H38" s="9">
        <v>133</v>
      </c>
      <c r="I38" s="9">
        <v>5</v>
      </c>
      <c r="J38" s="10">
        <f t="shared" si="2"/>
        <v>3.7593984962406015</v>
      </c>
      <c r="K38" s="9"/>
      <c r="L38" s="9">
        <v>20</v>
      </c>
      <c r="M38" s="7" t="e">
        <f t="shared" si="3"/>
        <v>#DIV/0!</v>
      </c>
    </row>
    <row r="39" spans="1:13" ht="16.5" x14ac:dyDescent="0.45">
      <c r="A39" s="4" t="s">
        <v>34</v>
      </c>
      <c r="B39" s="11">
        <v>61</v>
      </c>
      <c r="C39" s="9">
        <v>23</v>
      </c>
      <c r="D39" s="20">
        <f t="shared" si="0"/>
        <v>37.704918032786885</v>
      </c>
      <c r="E39" s="11">
        <v>61</v>
      </c>
      <c r="F39" s="9">
        <v>15</v>
      </c>
      <c r="G39" s="12">
        <f t="shared" si="1"/>
        <v>24.590163934426229</v>
      </c>
      <c r="H39" s="9">
        <v>105</v>
      </c>
      <c r="I39" s="9">
        <v>43</v>
      </c>
      <c r="J39" s="10">
        <f t="shared" si="2"/>
        <v>40.952380952380949</v>
      </c>
      <c r="K39" s="9"/>
      <c r="L39" s="9">
        <v>167</v>
      </c>
      <c r="M39" s="7" t="e">
        <f t="shared" si="3"/>
        <v>#DIV/0!</v>
      </c>
    </row>
    <row r="40" spans="1:13" ht="16.5" x14ac:dyDescent="0.45">
      <c r="A40" s="4" t="s">
        <v>35</v>
      </c>
      <c r="B40" s="11">
        <v>117</v>
      </c>
      <c r="C40" s="9">
        <v>44</v>
      </c>
      <c r="D40" s="20">
        <f t="shared" si="0"/>
        <v>37.606837606837608</v>
      </c>
      <c r="E40" s="11">
        <v>117</v>
      </c>
      <c r="F40" s="9">
        <v>31</v>
      </c>
      <c r="G40" s="12">
        <f t="shared" si="1"/>
        <v>26.495726495726498</v>
      </c>
      <c r="H40" s="9">
        <v>64</v>
      </c>
      <c r="I40" s="9">
        <v>108</v>
      </c>
      <c r="J40" s="10">
        <f t="shared" si="2"/>
        <v>168.75</v>
      </c>
      <c r="K40" s="9"/>
      <c r="L40" s="9">
        <v>66</v>
      </c>
      <c r="M40" s="7" t="e">
        <f t="shared" si="3"/>
        <v>#DIV/0!</v>
      </c>
    </row>
    <row r="41" spans="1:13" ht="16.5" x14ac:dyDescent="0.45">
      <c r="A41" s="4" t="s">
        <v>36</v>
      </c>
      <c r="B41" s="11">
        <v>62</v>
      </c>
      <c r="C41" s="9">
        <v>15</v>
      </c>
      <c r="D41" s="20">
        <f t="shared" si="0"/>
        <v>24.193548387096776</v>
      </c>
      <c r="E41" s="11">
        <v>62</v>
      </c>
      <c r="F41" s="9">
        <v>21</v>
      </c>
      <c r="G41" s="12">
        <f t="shared" si="1"/>
        <v>33.87096774193548</v>
      </c>
      <c r="H41" s="9">
        <v>69</v>
      </c>
      <c r="I41" s="9">
        <v>25</v>
      </c>
      <c r="J41" s="10">
        <f t="shared" si="2"/>
        <v>36.231884057971016</v>
      </c>
      <c r="K41" s="9"/>
      <c r="L41" s="9">
        <v>84</v>
      </c>
      <c r="M41" s="7" t="e">
        <f t="shared" si="3"/>
        <v>#DIV/0!</v>
      </c>
    </row>
    <row r="42" spans="1:13" ht="16.5" x14ac:dyDescent="0.45">
      <c r="A42" s="4" t="s">
        <v>37</v>
      </c>
      <c r="B42" s="11">
        <v>62</v>
      </c>
      <c r="C42" s="9">
        <v>25</v>
      </c>
      <c r="D42" s="20">
        <f t="shared" si="0"/>
        <v>40.322580645161288</v>
      </c>
      <c r="E42" s="11">
        <v>62</v>
      </c>
      <c r="F42" s="9">
        <v>13</v>
      </c>
      <c r="G42" s="12">
        <f t="shared" si="1"/>
        <v>20.967741935483872</v>
      </c>
      <c r="H42" s="9">
        <v>75</v>
      </c>
      <c r="I42" s="9">
        <v>30</v>
      </c>
      <c r="J42" s="10">
        <f t="shared" si="2"/>
        <v>40</v>
      </c>
      <c r="K42" s="9"/>
      <c r="L42" s="9">
        <v>108</v>
      </c>
      <c r="M42" s="7" t="e">
        <f t="shared" si="3"/>
        <v>#DIV/0!</v>
      </c>
    </row>
    <row r="43" spans="1:13" ht="16.5" x14ac:dyDescent="0.45">
      <c r="A43" s="4" t="s">
        <v>38</v>
      </c>
      <c r="B43" s="11">
        <v>130</v>
      </c>
      <c r="C43" s="9">
        <v>41</v>
      </c>
      <c r="D43" s="20">
        <f t="shared" si="0"/>
        <v>31.538461538461537</v>
      </c>
      <c r="E43" s="11">
        <v>130</v>
      </c>
      <c r="F43" s="9">
        <v>36</v>
      </c>
      <c r="G43" s="12">
        <f t="shared" si="1"/>
        <v>27.692307692307693</v>
      </c>
      <c r="H43" s="9">
        <v>123</v>
      </c>
      <c r="I43" s="9">
        <v>65</v>
      </c>
      <c r="J43" s="10">
        <f t="shared" si="2"/>
        <v>52.845528455284551</v>
      </c>
      <c r="K43" s="9"/>
      <c r="L43" s="9">
        <v>204</v>
      </c>
      <c r="M43" s="7" t="e">
        <f t="shared" si="3"/>
        <v>#DIV/0!</v>
      </c>
    </row>
    <row r="44" spans="1:13" ht="16.5" x14ac:dyDescent="0.45">
      <c r="A44" s="4" t="s">
        <v>39</v>
      </c>
      <c r="B44" s="11">
        <v>259</v>
      </c>
      <c r="C44" s="9">
        <v>110</v>
      </c>
      <c r="D44" s="20">
        <f t="shared" si="0"/>
        <v>42.471042471042466</v>
      </c>
      <c r="E44" s="11">
        <v>259</v>
      </c>
      <c r="F44" s="9">
        <v>89</v>
      </c>
      <c r="G44" s="12">
        <f t="shared" si="1"/>
        <v>34.362934362934361</v>
      </c>
      <c r="H44" s="9">
        <v>208</v>
      </c>
      <c r="I44" s="9">
        <v>94</v>
      </c>
      <c r="J44" s="10">
        <f t="shared" si="2"/>
        <v>45.192307692307693</v>
      </c>
      <c r="K44" s="9"/>
      <c r="L44" s="9">
        <v>309</v>
      </c>
      <c r="M44" s="7" t="e">
        <f t="shared" si="3"/>
        <v>#DIV/0!</v>
      </c>
    </row>
    <row r="45" spans="1:13" ht="16.5" x14ac:dyDescent="0.45">
      <c r="A45" s="4" t="s">
        <v>40</v>
      </c>
      <c r="B45" s="11">
        <v>36</v>
      </c>
      <c r="C45" s="9">
        <v>11</v>
      </c>
      <c r="D45" s="20">
        <f t="shared" si="0"/>
        <v>30.555555555555557</v>
      </c>
      <c r="E45" s="11">
        <v>36</v>
      </c>
      <c r="F45" s="9">
        <v>10</v>
      </c>
      <c r="G45" s="12">
        <f t="shared" si="1"/>
        <v>27.777777777777779</v>
      </c>
      <c r="H45" s="9">
        <v>36</v>
      </c>
      <c r="I45" s="9">
        <v>20</v>
      </c>
      <c r="J45" s="10">
        <f t="shared" si="2"/>
        <v>55.555555555555557</v>
      </c>
      <c r="K45" s="9"/>
      <c r="L45" s="9">
        <v>80</v>
      </c>
      <c r="M45" s="7" t="e">
        <f t="shared" si="3"/>
        <v>#DIV/0!</v>
      </c>
    </row>
    <row r="46" spans="1:13" ht="16.5" x14ac:dyDescent="0.45">
      <c r="A46" s="4" t="s">
        <v>41</v>
      </c>
      <c r="B46" s="11">
        <v>129</v>
      </c>
      <c r="C46" s="9">
        <v>60</v>
      </c>
      <c r="D46" s="20">
        <f t="shared" si="0"/>
        <v>46.511627906976742</v>
      </c>
      <c r="E46" s="11">
        <v>129</v>
      </c>
      <c r="F46" s="9">
        <v>93</v>
      </c>
      <c r="G46" s="12">
        <f t="shared" si="1"/>
        <v>72.093023255813947</v>
      </c>
      <c r="H46" s="9">
        <v>153</v>
      </c>
      <c r="I46" s="9">
        <v>79</v>
      </c>
      <c r="J46" s="10">
        <f t="shared" si="2"/>
        <v>51.633986928104584</v>
      </c>
      <c r="K46" s="9"/>
      <c r="L46" s="9">
        <v>229</v>
      </c>
      <c r="M46" s="7" t="e">
        <f t="shared" si="3"/>
        <v>#DIV/0!</v>
      </c>
    </row>
    <row r="47" spans="1:13" x14ac:dyDescent="0.35">
      <c r="A47" s="40" t="s">
        <v>50</v>
      </c>
      <c r="B47" s="40"/>
      <c r="C47" s="40"/>
      <c r="D47" s="40"/>
      <c r="E47" s="40"/>
      <c r="F47" s="40"/>
      <c r="G47" s="40"/>
      <c r="H47" s="40"/>
      <c r="I47" s="40"/>
      <c r="J47" s="40"/>
    </row>
    <row r="48" spans="1:13" x14ac:dyDescent="0.35">
      <c r="A48" s="34" t="s">
        <v>51</v>
      </c>
      <c r="B48" s="34"/>
      <c r="C48" s="34"/>
    </row>
    <row r="49" spans="1:3" x14ac:dyDescent="0.35">
      <c r="A49" s="35" t="s">
        <v>52</v>
      </c>
      <c r="B49" s="35"/>
      <c r="C49" s="35"/>
    </row>
  </sheetData>
  <mergeCells count="8">
    <mergeCell ref="A48:C48"/>
    <mergeCell ref="A49:C49"/>
    <mergeCell ref="A2:M2"/>
    <mergeCell ref="A3:M4"/>
    <mergeCell ref="A6:J6"/>
    <mergeCell ref="A47:J47"/>
    <mergeCell ref="A5:M5"/>
    <mergeCell ref="K6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8"/>
  <sheetViews>
    <sheetView workbookViewId="0">
      <selection activeCell="M36" sqref="M36"/>
    </sheetView>
  </sheetViews>
  <sheetFormatPr baseColWidth="10" defaultRowHeight="14.5" x14ac:dyDescent="0.35"/>
  <sheetData>
    <row r="1" spans="1:15" ht="23.5" x14ac:dyDescent="0.55000000000000004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x14ac:dyDescent="0.35">
      <c r="A2" s="37" t="s">
        <v>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8.5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2" t="s">
        <v>49</v>
      </c>
      <c r="N5" s="42"/>
      <c r="O5" s="42"/>
    </row>
    <row r="6" spans="1:15" ht="43.5" x14ac:dyDescent="0.35">
      <c r="A6" s="5" t="s">
        <v>2</v>
      </c>
      <c r="B6" s="5" t="s">
        <v>42</v>
      </c>
      <c r="C6" s="6" t="s">
        <v>54</v>
      </c>
      <c r="D6" s="5" t="s">
        <v>42</v>
      </c>
      <c r="E6" s="6" t="s">
        <v>45</v>
      </c>
      <c r="F6" s="6" t="s">
        <v>44</v>
      </c>
      <c r="G6" s="5" t="s">
        <v>42</v>
      </c>
      <c r="H6" s="6" t="s">
        <v>46</v>
      </c>
      <c r="I6" s="6" t="s">
        <v>44</v>
      </c>
      <c r="J6" s="5" t="s">
        <v>42</v>
      </c>
      <c r="K6" s="6" t="s">
        <v>43</v>
      </c>
      <c r="L6" s="5" t="s">
        <v>44</v>
      </c>
      <c r="M6" s="5" t="s">
        <v>42</v>
      </c>
      <c r="N6" s="6" t="s">
        <v>48</v>
      </c>
      <c r="O6" s="5" t="s">
        <v>44</v>
      </c>
    </row>
    <row r="7" spans="1:15" ht="16.5" x14ac:dyDescent="0.45">
      <c r="A7" s="13" t="s">
        <v>3</v>
      </c>
      <c r="B7" s="17"/>
      <c r="C7" s="18">
        <v>3</v>
      </c>
      <c r="D7" s="11">
        <v>8431</v>
      </c>
      <c r="E7" s="7">
        <v>22</v>
      </c>
      <c r="F7" s="10">
        <f t="shared" ref="F7:F45" si="0">SUM(E7/D7*100)</f>
        <v>0.26094176254299611</v>
      </c>
      <c r="G7" s="11">
        <v>8431</v>
      </c>
      <c r="H7" s="8">
        <v>28</v>
      </c>
      <c r="I7" s="12">
        <f>SUM(H7/G7*100)</f>
        <v>0.332107697781995</v>
      </c>
      <c r="J7" s="8">
        <v>10719</v>
      </c>
      <c r="K7" s="8">
        <v>32</v>
      </c>
      <c r="L7" s="10">
        <f>SUM(K7/J7*100)</f>
        <v>0.29853531112976955</v>
      </c>
      <c r="M7" s="8"/>
      <c r="N7" s="8">
        <v>61</v>
      </c>
      <c r="O7" s="7" t="e">
        <f>SUM(N7/M7*100)</f>
        <v>#DIV/0!</v>
      </c>
    </row>
    <row r="8" spans="1:15" ht="29" x14ac:dyDescent="0.45">
      <c r="A8" s="13" t="s">
        <v>4</v>
      </c>
      <c r="B8" s="17"/>
      <c r="C8" s="17">
        <v>0</v>
      </c>
      <c r="D8" s="11">
        <v>576</v>
      </c>
      <c r="E8" s="9">
        <v>36</v>
      </c>
      <c r="F8" s="10">
        <f t="shared" si="0"/>
        <v>6.25</v>
      </c>
      <c r="G8" s="11">
        <v>576</v>
      </c>
      <c r="H8" s="9">
        <v>37</v>
      </c>
      <c r="I8" s="12">
        <f t="shared" ref="I8:I45" si="1">SUM(H8/G8*100)</f>
        <v>6.4236111111111107</v>
      </c>
      <c r="J8" s="9">
        <v>657</v>
      </c>
      <c r="K8" s="9">
        <v>27</v>
      </c>
      <c r="L8" s="10">
        <f t="shared" ref="L8:L45" si="2">SUM(K8/J8*100)</f>
        <v>4.10958904109589</v>
      </c>
      <c r="M8" s="9"/>
      <c r="N8" s="9">
        <v>0</v>
      </c>
      <c r="O8" s="7" t="e">
        <f t="shared" ref="O8:O45" si="3">SUM(N8/M8*100)</f>
        <v>#DIV/0!</v>
      </c>
    </row>
    <row r="9" spans="1:15" ht="16.5" x14ac:dyDescent="0.45">
      <c r="A9" s="13" t="s">
        <v>5</v>
      </c>
      <c r="B9" s="17"/>
      <c r="C9" s="17">
        <v>0</v>
      </c>
      <c r="D9" s="11">
        <v>1425</v>
      </c>
      <c r="E9" s="9">
        <v>20</v>
      </c>
      <c r="F9" s="10">
        <f t="shared" si="0"/>
        <v>1.4035087719298245</v>
      </c>
      <c r="G9" s="11">
        <v>1425</v>
      </c>
      <c r="H9" s="9">
        <v>28</v>
      </c>
      <c r="I9" s="12">
        <f t="shared" si="1"/>
        <v>1.9649122807017545</v>
      </c>
      <c r="J9" s="9">
        <v>1082</v>
      </c>
      <c r="K9" s="9">
        <v>32</v>
      </c>
      <c r="L9" s="10">
        <f t="shared" si="2"/>
        <v>2.957486136783734</v>
      </c>
      <c r="M9" s="9"/>
      <c r="N9" s="9">
        <v>4</v>
      </c>
      <c r="O9" s="7" t="e">
        <f t="shared" si="3"/>
        <v>#DIV/0!</v>
      </c>
    </row>
    <row r="10" spans="1:15" ht="29" x14ac:dyDescent="0.45">
      <c r="A10" s="13" t="s">
        <v>6</v>
      </c>
      <c r="B10" s="17"/>
      <c r="C10" s="17">
        <v>0</v>
      </c>
      <c r="D10" s="11">
        <v>488</v>
      </c>
      <c r="E10" s="9">
        <v>7</v>
      </c>
      <c r="F10" s="10">
        <f t="shared" si="0"/>
        <v>1.4344262295081966</v>
      </c>
      <c r="G10" s="11">
        <v>488</v>
      </c>
      <c r="H10" s="9">
        <v>14</v>
      </c>
      <c r="I10" s="12">
        <f t="shared" si="1"/>
        <v>2.8688524590163933</v>
      </c>
      <c r="J10" s="9">
        <v>514</v>
      </c>
      <c r="K10" s="9">
        <v>9</v>
      </c>
      <c r="L10" s="10">
        <f t="shared" si="2"/>
        <v>1.7509727626459144</v>
      </c>
      <c r="M10" s="9"/>
      <c r="N10" s="9">
        <v>10</v>
      </c>
      <c r="O10" s="7" t="e">
        <f t="shared" si="3"/>
        <v>#DIV/0!</v>
      </c>
    </row>
    <row r="11" spans="1:15" ht="29" x14ac:dyDescent="0.45">
      <c r="A11" s="13" t="s">
        <v>7</v>
      </c>
      <c r="B11" s="17"/>
      <c r="C11" s="17">
        <v>0</v>
      </c>
      <c r="D11" s="11">
        <v>224</v>
      </c>
      <c r="E11" s="9">
        <v>4</v>
      </c>
      <c r="F11" s="10">
        <f t="shared" si="0"/>
        <v>1.7857142857142856</v>
      </c>
      <c r="G11" s="11">
        <v>224</v>
      </c>
      <c r="H11" s="9">
        <v>6</v>
      </c>
      <c r="I11" s="12">
        <f t="shared" si="1"/>
        <v>2.6785714285714284</v>
      </c>
      <c r="J11" s="9">
        <v>243</v>
      </c>
      <c r="K11" s="9">
        <v>3</v>
      </c>
      <c r="L11" s="10">
        <f t="shared" si="2"/>
        <v>1.2345679012345678</v>
      </c>
      <c r="M11" s="9"/>
      <c r="N11" s="9">
        <v>0</v>
      </c>
      <c r="O11" s="7" t="e">
        <f t="shared" si="3"/>
        <v>#DIV/0!</v>
      </c>
    </row>
    <row r="12" spans="1:15" ht="16.5" x14ac:dyDescent="0.45">
      <c r="A12" s="13" t="s">
        <v>8</v>
      </c>
      <c r="B12" s="17"/>
      <c r="C12" s="17">
        <v>0</v>
      </c>
      <c r="D12" s="11">
        <v>135</v>
      </c>
      <c r="E12" s="9">
        <v>1</v>
      </c>
      <c r="F12" s="10">
        <f t="shared" si="0"/>
        <v>0.74074074074074081</v>
      </c>
      <c r="G12" s="11">
        <v>135</v>
      </c>
      <c r="H12" s="9">
        <v>8</v>
      </c>
      <c r="I12" s="12">
        <f t="shared" si="1"/>
        <v>5.9259259259259265</v>
      </c>
      <c r="J12" s="9">
        <v>190</v>
      </c>
      <c r="K12" s="9">
        <v>3</v>
      </c>
      <c r="L12" s="10">
        <f t="shared" si="2"/>
        <v>1.5789473684210527</v>
      </c>
      <c r="M12" s="9"/>
      <c r="N12" s="9">
        <v>10</v>
      </c>
      <c r="O12" s="7" t="e">
        <f t="shared" si="3"/>
        <v>#DIV/0!</v>
      </c>
    </row>
    <row r="13" spans="1:15" ht="29" x14ac:dyDescent="0.45">
      <c r="A13" s="13" t="s">
        <v>9</v>
      </c>
      <c r="B13" s="17"/>
      <c r="C13" s="17">
        <v>0</v>
      </c>
      <c r="D13" s="11">
        <v>1283</v>
      </c>
      <c r="E13" s="9">
        <v>14</v>
      </c>
      <c r="F13" s="10">
        <f t="shared" si="0"/>
        <v>1.0911925175370227</v>
      </c>
      <c r="G13" s="11">
        <v>1283</v>
      </c>
      <c r="H13" s="9">
        <v>7</v>
      </c>
      <c r="I13" s="12">
        <f t="shared" si="1"/>
        <v>0.54559625876851137</v>
      </c>
      <c r="J13" s="9">
        <v>1399</v>
      </c>
      <c r="K13" s="9">
        <v>5</v>
      </c>
      <c r="L13" s="10">
        <f t="shared" si="2"/>
        <v>0.35739814152966404</v>
      </c>
      <c r="M13" s="9"/>
      <c r="N13" s="9">
        <v>12</v>
      </c>
      <c r="O13" s="7" t="e">
        <f t="shared" si="3"/>
        <v>#DIV/0!</v>
      </c>
    </row>
    <row r="14" spans="1:15" ht="16.5" x14ac:dyDescent="0.45">
      <c r="A14" s="13" t="s">
        <v>10</v>
      </c>
      <c r="B14" s="17"/>
      <c r="C14" s="17">
        <v>0</v>
      </c>
      <c r="D14" s="11">
        <v>581</v>
      </c>
      <c r="E14" s="9">
        <v>2</v>
      </c>
      <c r="F14" s="10">
        <f t="shared" si="0"/>
        <v>0.34423407917383825</v>
      </c>
      <c r="G14" s="11">
        <v>581</v>
      </c>
      <c r="H14" s="9">
        <v>8</v>
      </c>
      <c r="I14" s="12">
        <f t="shared" si="1"/>
        <v>1.376936316695353</v>
      </c>
      <c r="J14" s="9">
        <v>608</v>
      </c>
      <c r="K14" s="9">
        <v>6</v>
      </c>
      <c r="L14" s="10">
        <f t="shared" si="2"/>
        <v>0.98684210526315785</v>
      </c>
      <c r="M14" s="9"/>
      <c r="N14" s="9">
        <v>0</v>
      </c>
      <c r="O14" s="7" t="e">
        <f t="shared" si="3"/>
        <v>#DIV/0!</v>
      </c>
    </row>
    <row r="15" spans="1:15" ht="16.5" x14ac:dyDescent="0.45">
      <c r="A15" s="13" t="s">
        <v>11</v>
      </c>
      <c r="B15" s="17"/>
      <c r="C15" s="17">
        <v>0</v>
      </c>
      <c r="D15" s="11">
        <v>166</v>
      </c>
      <c r="E15" s="9">
        <v>0</v>
      </c>
      <c r="F15" s="10">
        <f t="shared" si="0"/>
        <v>0</v>
      </c>
      <c r="G15" s="11">
        <v>166</v>
      </c>
      <c r="H15" s="9">
        <v>5</v>
      </c>
      <c r="I15" s="12">
        <f t="shared" si="1"/>
        <v>3.0120481927710845</v>
      </c>
      <c r="J15" s="9">
        <v>177</v>
      </c>
      <c r="K15" s="9">
        <v>3</v>
      </c>
      <c r="L15" s="10">
        <f t="shared" si="2"/>
        <v>1.6949152542372881</v>
      </c>
      <c r="M15" s="9"/>
      <c r="N15" s="9">
        <v>20</v>
      </c>
      <c r="O15" s="7" t="e">
        <f t="shared" si="3"/>
        <v>#DIV/0!</v>
      </c>
    </row>
    <row r="16" spans="1:15" ht="16.5" x14ac:dyDescent="0.45">
      <c r="A16" s="13" t="s">
        <v>12</v>
      </c>
      <c r="B16" s="17"/>
      <c r="C16" s="17">
        <v>0</v>
      </c>
      <c r="D16" s="11">
        <v>952</v>
      </c>
      <c r="E16" s="9">
        <v>0</v>
      </c>
      <c r="F16" s="10">
        <f t="shared" si="0"/>
        <v>0</v>
      </c>
      <c r="G16" s="11">
        <v>952</v>
      </c>
      <c r="H16" s="9">
        <v>2</v>
      </c>
      <c r="I16" s="12">
        <f t="shared" si="1"/>
        <v>0.21008403361344538</v>
      </c>
      <c r="J16" s="9">
        <v>851</v>
      </c>
      <c r="K16" s="9">
        <v>0</v>
      </c>
      <c r="L16" s="10">
        <f t="shared" si="2"/>
        <v>0</v>
      </c>
      <c r="M16" s="9"/>
      <c r="N16" s="9">
        <v>0</v>
      </c>
      <c r="O16" s="7" t="e">
        <f t="shared" si="3"/>
        <v>#DIV/0!</v>
      </c>
    </row>
    <row r="17" spans="1:15" ht="29" x14ac:dyDescent="0.45">
      <c r="A17" s="13" t="s">
        <v>13</v>
      </c>
      <c r="B17" s="17"/>
      <c r="C17" s="17">
        <v>0</v>
      </c>
      <c r="D17" s="11">
        <v>403</v>
      </c>
      <c r="E17" s="9">
        <v>36</v>
      </c>
      <c r="F17" s="10">
        <f t="shared" si="0"/>
        <v>8.9330024813895772</v>
      </c>
      <c r="G17" s="11">
        <v>403</v>
      </c>
      <c r="H17" s="9">
        <v>32</v>
      </c>
      <c r="I17" s="12">
        <f t="shared" si="1"/>
        <v>7.9404466501240698</v>
      </c>
      <c r="J17" s="9">
        <v>254</v>
      </c>
      <c r="K17" s="9">
        <v>19</v>
      </c>
      <c r="L17" s="10">
        <f t="shared" si="2"/>
        <v>7.4803149606299222</v>
      </c>
      <c r="M17" s="9"/>
      <c r="N17" s="9">
        <v>0</v>
      </c>
      <c r="O17" s="7" t="e">
        <f t="shared" si="3"/>
        <v>#DIV/0!</v>
      </c>
    </row>
    <row r="18" spans="1:15" ht="16.5" x14ac:dyDescent="0.45">
      <c r="A18" s="14" t="s">
        <v>14</v>
      </c>
      <c r="B18" s="17"/>
      <c r="C18" s="17">
        <v>0</v>
      </c>
      <c r="D18" s="11">
        <v>643</v>
      </c>
      <c r="E18" s="9">
        <v>20</v>
      </c>
      <c r="F18" s="10">
        <f t="shared" si="0"/>
        <v>3.1104199066874028</v>
      </c>
      <c r="G18" s="11">
        <v>643</v>
      </c>
      <c r="H18" s="9">
        <v>11</v>
      </c>
      <c r="I18" s="12">
        <f t="shared" si="1"/>
        <v>1.7107309486780715</v>
      </c>
      <c r="J18" s="9">
        <v>843</v>
      </c>
      <c r="K18" s="9">
        <v>25</v>
      </c>
      <c r="L18" s="10">
        <f t="shared" si="2"/>
        <v>2.9655990510083039</v>
      </c>
      <c r="M18" s="9"/>
      <c r="N18" s="9">
        <v>20</v>
      </c>
      <c r="O18" s="7" t="e">
        <f t="shared" si="3"/>
        <v>#DIV/0!</v>
      </c>
    </row>
    <row r="19" spans="1:15" ht="43.5" x14ac:dyDescent="0.45">
      <c r="A19" s="14" t="s">
        <v>15</v>
      </c>
      <c r="B19" s="17"/>
      <c r="C19" s="17">
        <v>0</v>
      </c>
      <c r="D19" s="11">
        <v>236</v>
      </c>
      <c r="E19" s="9">
        <v>13</v>
      </c>
      <c r="F19" s="10">
        <f t="shared" si="0"/>
        <v>5.508474576271186</v>
      </c>
      <c r="G19" s="11">
        <v>236</v>
      </c>
      <c r="H19" s="9">
        <v>18</v>
      </c>
      <c r="I19" s="12">
        <f t="shared" si="1"/>
        <v>7.6271186440677967</v>
      </c>
      <c r="J19" s="9">
        <v>231</v>
      </c>
      <c r="K19" s="9">
        <v>12</v>
      </c>
      <c r="L19" s="10">
        <f t="shared" si="2"/>
        <v>5.1948051948051948</v>
      </c>
      <c r="M19" s="9"/>
      <c r="N19" s="9">
        <v>15</v>
      </c>
      <c r="O19" s="7" t="e">
        <f t="shared" si="3"/>
        <v>#DIV/0!</v>
      </c>
    </row>
    <row r="20" spans="1:15" ht="29" x14ac:dyDescent="0.45">
      <c r="A20" s="14" t="s">
        <v>16</v>
      </c>
      <c r="B20" s="17"/>
      <c r="C20" s="17">
        <v>0</v>
      </c>
      <c r="D20" s="11">
        <v>5736</v>
      </c>
      <c r="E20" s="9">
        <v>22</v>
      </c>
      <c r="F20" s="10">
        <f t="shared" si="0"/>
        <v>0.38354253835425384</v>
      </c>
      <c r="G20" s="11">
        <v>5736</v>
      </c>
      <c r="H20" s="9">
        <v>12</v>
      </c>
      <c r="I20" s="12">
        <f t="shared" si="1"/>
        <v>0.20920502092050208</v>
      </c>
      <c r="J20" s="9">
        <v>6878</v>
      </c>
      <c r="K20" s="9">
        <v>47</v>
      </c>
      <c r="L20" s="10">
        <f t="shared" si="2"/>
        <v>0.68333817970340216</v>
      </c>
      <c r="M20" s="9"/>
      <c r="N20" s="9">
        <v>0</v>
      </c>
      <c r="O20" s="7" t="e">
        <f t="shared" si="3"/>
        <v>#DIV/0!</v>
      </c>
    </row>
    <row r="21" spans="1:15" ht="16.5" x14ac:dyDescent="0.45">
      <c r="A21" s="14" t="s">
        <v>17</v>
      </c>
      <c r="B21" s="17"/>
      <c r="C21" s="17">
        <v>0</v>
      </c>
      <c r="D21" s="11">
        <v>2230</v>
      </c>
      <c r="E21" s="9">
        <v>54</v>
      </c>
      <c r="F21" s="10">
        <f t="shared" si="0"/>
        <v>2.4215246636771304</v>
      </c>
      <c r="G21" s="11">
        <v>2230</v>
      </c>
      <c r="H21" s="9">
        <v>50</v>
      </c>
      <c r="I21" s="12">
        <f t="shared" si="1"/>
        <v>2.2421524663677128</v>
      </c>
      <c r="J21" s="9">
        <v>2609</v>
      </c>
      <c r="K21" s="9">
        <v>42</v>
      </c>
      <c r="L21" s="10">
        <f t="shared" si="2"/>
        <v>1.609812188577999</v>
      </c>
      <c r="M21" s="9"/>
      <c r="N21" s="9">
        <v>0</v>
      </c>
      <c r="O21" s="7" t="e">
        <f t="shared" si="3"/>
        <v>#DIV/0!</v>
      </c>
    </row>
    <row r="22" spans="1:15" ht="16.5" x14ac:dyDescent="0.45">
      <c r="A22" s="14" t="s">
        <v>18</v>
      </c>
      <c r="B22" s="17"/>
      <c r="C22" s="17">
        <v>0</v>
      </c>
      <c r="D22" s="11">
        <v>543</v>
      </c>
      <c r="E22" s="9">
        <v>14</v>
      </c>
      <c r="F22" s="10">
        <f t="shared" si="0"/>
        <v>2.5782688766114181</v>
      </c>
      <c r="G22" s="11">
        <v>543</v>
      </c>
      <c r="H22" s="9">
        <v>10</v>
      </c>
      <c r="I22" s="12">
        <f t="shared" si="1"/>
        <v>1.8416206261510131</v>
      </c>
      <c r="J22" s="9">
        <v>634</v>
      </c>
      <c r="K22" s="9">
        <v>13</v>
      </c>
      <c r="L22" s="10">
        <f t="shared" si="2"/>
        <v>2.0504731861198739</v>
      </c>
      <c r="M22" s="9"/>
      <c r="N22" s="9">
        <v>0</v>
      </c>
      <c r="O22" s="7" t="e">
        <f t="shared" si="3"/>
        <v>#DIV/0!</v>
      </c>
    </row>
    <row r="23" spans="1:15" ht="16.5" x14ac:dyDescent="0.45">
      <c r="A23" s="14" t="s">
        <v>19</v>
      </c>
      <c r="B23" s="17"/>
      <c r="C23" s="17">
        <v>0</v>
      </c>
      <c r="D23" s="11">
        <v>284</v>
      </c>
      <c r="E23" s="9">
        <v>7</v>
      </c>
      <c r="F23" s="10">
        <f t="shared" si="0"/>
        <v>2.464788732394366</v>
      </c>
      <c r="G23" s="11">
        <v>284</v>
      </c>
      <c r="H23" s="9">
        <v>4</v>
      </c>
      <c r="I23" s="12">
        <f t="shared" si="1"/>
        <v>1.4084507042253522</v>
      </c>
      <c r="J23" s="9">
        <v>376</v>
      </c>
      <c r="K23" s="9">
        <v>13</v>
      </c>
      <c r="L23" s="10">
        <f t="shared" si="2"/>
        <v>3.4574468085106385</v>
      </c>
      <c r="M23" s="9"/>
      <c r="N23" s="9">
        <v>0</v>
      </c>
      <c r="O23" s="7" t="e">
        <f t="shared" si="3"/>
        <v>#DIV/0!</v>
      </c>
    </row>
    <row r="24" spans="1:15" ht="29" x14ac:dyDescent="0.45">
      <c r="A24" s="14" t="s">
        <v>20</v>
      </c>
      <c r="B24" s="17"/>
      <c r="C24" s="17">
        <v>0</v>
      </c>
      <c r="D24" s="11">
        <v>220</v>
      </c>
      <c r="E24" s="9">
        <v>7</v>
      </c>
      <c r="F24" s="10">
        <f t="shared" si="0"/>
        <v>3.1818181818181817</v>
      </c>
      <c r="G24" s="11">
        <v>220</v>
      </c>
      <c r="H24" s="9">
        <v>11</v>
      </c>
      <c r="I24" s="12">
        <f t="shared" si="1"/>
        <v>5</v>
      </c>
      <c r="J24" s="9">
        <v>212</v>
      </c>
      <c r="K24" s="9">
        <v>11</v>
      </c>
      <c r="L24" s="10">
        <f t="shared" si="2"/>
        <v>5.1886792452830193</v>
      </c>
      <c r="M24" s="9"/>
      <c r="N24" s="9">
        <v>0</v>
      </c>
      <c r="O24" s="7" t="e">
        <f t="shared" si="3"/>
        <v>#DIV/0!</v>
      </c>
    </row>
    <row r="25" spans="1:15" ht="29" x14ac:dyDescent="0.45">
      <c r="A25" s="14" t="s">
        <v>21</v>
      </c>
      <c r="B25" s="17"/>
      <c r="C25" s="17">
        <v>0</v>
      </c>
      <c r="D25" s="11">
        <v>228</v>
      </c>
      <c r="E25" s="9">
        <v>15</v>
      </c>
      <c r="F25" s="10">
        <f t="shared" si="0"/>
        <v>6.5789473684210522</v>
      </c>
      <c r="G25" s="11">
        <v>228</v>
      </c>
      <c r="H25" s="9">
        <v>14</v>
      </c>
      <c r="I25" s="12">
        <f t="shared" si="1"/>
        <v>6.140350877192982</v>
      </c>
      <c r="J25" s="9">
        <v>219</v>
      </c>
      <c r="K25" s="9">
        <v>23</v>
      </c>
      <c r="L25" s="10">
        <f t="shared" si="2"/>
        <v>10.50228310502283</v>
      </c>
      <c r="M25" s="9"/>
      <c r="N25" s="9">
        <v>15</v>
      </c>
      <c r="O25" s="7" t="e">
        <f t="shared" si="3"/>
        <v>#DIV/0!</v>
      </c>
    </row>
    <row r="26" spans="1:15" ht="29" x14ac:dyDescent="0.45">
      <c r="A26" s="14" t="s">
        <v>22</v>
      </c>
      <c r="B26" s="17"/>
      <c r="C26" s="17">
        <v>0</v>
      </c>
      <c r="D26" s="11">
        <v>33</v>
      </c>
      <c r="E26" s="9">
        <v>3</v>
      </c>
      <c r="F26" s="10">
        <f t="shared" si="0"/>
        <v>9.0909090909090917</v>
      </c>
      <c r="G26" s="11">
        <v>33</v>
      </c>
      <c r="H26" s="9">
        <v>2</v>
      </c>
      <c r="I26" s="12">
        <f t="shared" si="1"/>
        <v>6.0606060606060606</v>
      </c>
      <c r="J26" s="9">
        <v>38</v>
      </c>
      <c r="K26" s="9">
        <v>0</v>
      </c>
      <c r="L26" s="10">
        <f t="shared" si="2"/>
        <v>0</v>
      </c>
      <c r="M26" s="9"/>
      <c r="N26" s="9">
        <v>0</v>
      </c>
      <c r="O26" s="7" t="e">
        <f t="shared" si="3"/>
        <v>#DIV/0!</v>
      </c>
    </row>
    <row r="27" spans="1:15" ht="29" x14ac:dyDescent="0.45">
      <c r="A27" s="14" t="s">
        <v>23</v>
      </c>
      <c r="B27" s="17"/>
      <c r="C27" s="17">
        <v>0</v>
      </c>
      <c r="D27" s="11">
        <v>38</v>
      </c>
      <c r="E27" s="9">
        <v>3</v>
      </c>
      <c r="F27" s="10">
        <f t="shared" si="0"/>
        <v>7.8947368421052628</v>
      </c>
      <c r="G27" s="11">
        <v>38</v>
      </c>
      <c r="H27" s="9">
        <v>1</v>
      </c>
      <c r="I27" s="12">
        <f t="shared" si="1"/>
        <v>2.6315789473684208</v>
      </c>
      <c r="J27" s="9">
        <v>41</v>
      </c>
      <c r="K27" s="9">
        <v>1</v>
      </c>
      <c r="L27" s="10">
        <f t="shared" si="2"/>
        <v>2.4390243902439024</v>
      </c>
      <c r="M27" s="9"/>
      <c r="N27" s="9">
        <v>0</v>
      </c>
      <c r="O27" s="7" t="e">
        <f t="shared" si="3"/>
        <v>#DIV/0!</v>
      </c>
    </row>
    <row r="28" spans="1:15" ht="16.5" x14ac:dyDescent="0.45">
      <c r="A28" s="14" t="s">
        <v>24</v>
      </c>
      <c r="B28" s="17"/>
      <c r="C28" s="17">
        <v>0</v>
      </c>
      <c r="D28" s="11">
        <v>130</v>
      </c>
      <c r="E28" s="9">
        <v>4</v>
      </c>
      <c r="F28" s="10">
        <f t="shared" si="0"/>
        <v>3.0769230769230771</v>
      </c>
      <c r="G28" s="11">
        <v>130</v>
      </c>
      <c r="H28" s="9">
        <v>10</v>
      </c>
      <c r="I28" s="12">
        <f t="shared" si="1"/>
        <v>7.6923076923076925</v>
      </c>
      <c r="J28" s="9">
        <v>140</v>
      </c>
      <c r="K28" s="9">
        <v>11</v>
      </c>
      <c r="L28" s="10">
        <f t="shared" si="2"/>
        <v>7.8571428571428568</v>
      </c>
      <c r="M28" s="9"/>
      <c r="N28" s="9">
        <v>0</v>
      </c>
      <c r="O28" s="7" t="e">
        <f t="shared" si="3"/>
        <v>#DIV/0!</v>
      </c>
    </row>
    <row r="29" spans="1:15" ht="16.5" x14ac:dyDescent="0.45">
      <c r="A29" s="14" t="s">
        <v>25</v>
      </c>
      <c r="B29" s="17"/>
      <c r="C29" s="17">
        <v>0</v>
      </c>
      <c r="D29" s="11">
        <v>278</v>
      </c>
      <c r="E29" s="9">
        <v>3</v>
      </c>
      <c r="F29" s="10">
        <f t="shared" si="0"/>
        <v>1.079136690647482</v>
      </c>
      <c r="G29" s="11">
        <v>278</v>
      </c>
      <c r="H29" s="9">
        <v>3</v>
      </c>
      <c r="I29" s="12">
        <f t="shared" si="1"/>
        <v>1.079136690647482</v>
      </c>
      <c r="J29" s="9">
        <v>348</v>
      </c>
      <c r="K29" s="9">
        <v>2</v>
      </c>
      <c r="L29" s="10">
        <f t="shared" si="2"/>
        <v>0.57471264367816088</v>
      </c>
      <c r="M29" s="9"/>
      <c r="N29" s="9">
        <v>0</v>
      </c>
      <c r="O29" s="7" t="e">
        <f t="shared" si="3"/>
        <v>#DIV/0!</v>
      </c>
    </row>
    <row r="30" spans="1:15" ht="16.5" x14ac:dyDescent="0.45">
      <c r="A30" s="15" t="s">
        <v>26</v>
      </c>
      <c r="B30" s="17"/>
      <c r="C30" s="17">
        <v>0</v>
      </c>
      <c r="D30" s="11">
        <v>499</v>
      </c>
      <c r="E30" s="9">
        <v>16</v>
      </c>
      <c r="F30" s="10">
        <f t="shared" si="0"/>
        <v>3.2064128256513023</v>
      </c>
      <c r="G30" s="11">
        <v>499</v>
      </c>
      <c r="H30" s="9">
        <v>19</v>
      </c>
      <c r="I30" s="12">
        <f t="shared" si="1"/>
        <v>3.8076152304609221</v>
      </c>
      <c r="J30" s="9">
        <v>560</v>
      </c>
      <c r="K30" s="9">
        <v>26</v>
      </c>
      <c r="L30" s="10">
        <f t="shared" si="2"/>
        <v>4.6428571428571432</v>
      </c>
      <c r="M30" s="9"/>
      <c r="N30" s="9">
        <v>0</v>
      </c>
      <c r="O30" s="7" t="e">
        <f t="shared" si="3"/>
        <v>#DIV/0!</v>
      </c>
    </row>
    <row r="31" spans="1:15" ht="16.5" x14ac:dyDescent="0.45">
      <c r="A31" s="15" t="s">
        <v>27</v>
      </c>
      <c r="B31" s="17"/>
      <c r="C31" s="17">
        <v>0</v>
      </c>
      <c r="D31" s="11">
        <v>54</v>
      </c>
      <c r="E31" s="9">
        <v>1</v>
      </c>
      <c r="F31" s="10">
        <f t="shared" si="0"/>
        <v>1.8518518518518516</v>
      </c>
      <c r="G31" s="11">
        <v>54</v>
      </c>
      <c r="H31" s="9">
        <v>7</v>
      </c>
      <c r="I31" s="12">
        <f t="shared" si="1"/>
        <v>12.962962962962962</v>
      </c>
      <c r="J31" s="9">
        <v>51</v>
      </c>
      <c r="K31" s="9">
        <v>5</v>
      </c>
      <c r="L31" s="10">
        <f t="shared" si="2"/>
        <v>9.8039215686274517</v>
      </c>
      <c r="M31" s="9"/>
      <c r="N31" s="9">
        <v>0</v>
      </c>
      <c r="O31" s="7" t="e">
        <f t="shared" si="3"/>
        <v>#DIV/0!</v>
      </c>
    </row>
    <row r="32" spans="1:15" ht="16.5" x14ac:dyDescent="0.45">
      <c r="A32" s="15" t="s">
        <v>28</v>
      </c>
      <c r="B32" s="17"/>
      <c r="C32" s="17">
        <v>0</v>
      </c>
      <c r="D32" s="11">
        <v>137</v>
      </c>
      <c r="E32" s="9">
        <v>5</v>
      </c>
      <c r="F32" s="10">
        <f t="shared" si="0"/>
        <v>3.6496350364963499</v>
      </c>
      <c r="G32" s="11">
        <v>137</v>
      </c>
      <c r="H32" s="9">
        <v>8</v>
      </c>
      <c r="I32" s="12">
        <f t="shared" si="1"/>
        <v>5.8394160583941606</v>
      </c>
      <c r="J32" s="9">
        <v>184</v>
      </c>
      <c r="K32" s="9">
        <v>3</v>
      </c>
      <c r="L32" s="10">
        <f t="shared" si="2"/>
        <v>1.6304347826086956</v>
      </c>
      <c r="M32" s="9"/>
      <c r="N32" s="9">
        <v>0</v>
      </c>
      <c r="O32" s="7" t="e">
        <f t="shared" si="3"/>
        <v>#DIV/0!</v>
      </c>
    </row>
    <row r="33" spans="1:15" ht="16.5" x14ac:dyDescent="0.45">
      <c r="A33" s="15" t="s">
        <v>29</v>
      </c>
      <c r="B33" s="17"/>
      <c r="C33" s="17">
        <v>0</v>
      </c>
      <c r="D33" s="11">
        <v>443</v>
      </c>
      <c r="E33" s="9">
        <v>103</v>
      </c>
      <c r="F33" s="10">
        <f t="shared" si="0"/>
        <v>23.25056433408578</v>
      </c>
      <c r="G33" s="11">
        <v>443</v>
      </c>
      <c r="H33" s="9">
        <v>114</v>
      </c>
      <c r="I33" s="12">
        <f t="shared" si="1"/>
        <v>25.733634311512414</v>
      </c>
      <c r="J33" s="9">
        <v>425</v>
      </c>
      <c r="K33" s="9">
        <v>89</v>
      </c>
      <c r="L33" s="10">
        <f t="shared" si="2"/>
        <v>20.941176470588236</v>
      </c>
      <c r="M33" s="9"/>
      <c r="N33" s="9">
        <v>240</v>
      </c>
      <c r="O33" s="7" t="e">
        <f t="shared" si="3"/>
        <v>#DIV/0!</v>
      </c>
    </row>
    <row r="34" spans="1:15" ht="16.5" x14ac:dyDescent="0.45">
      <c r="A34" s="15" t="s">
        <v>30</v>
      </c>
      <c r="B34" s="17"/>
      <c r="C34" s="17">
        <v>0</v>
      </c>
      <c r="D34" s="11">
        <v>99</v>
      </c>
      <c r="E34" s="9">
        <v>8</v>
      </c>
      <c r="F34" s="10">
        <f t="shared" si="0"/>
        <v>8.0808080808080813</v>
      </c>
      <c r="G34" s="11">
        <v>99</v>
      </c>
      <c r="H34" s="9">
        <v>8</v>
      </c>
      <c r="I34" s="12">
        <f t="shared" si="1"/>
        <v>8.0808080808080813</v>
      </c>
      <c r="J34" s="9">
        <v>95</v>
      </c>
      <c r="K34" s="9">
        <v>3</v>
      </c>
      <c r="L34" s="10">
        <f t="shared" si="2"/>
        <v>3.1578947368421053</v>
      </c>
      <c r="M34" s="9"/>
      <c r="N34" s="9">
        <v>0</v>
      </c>
      <c r="O34" s="7" t="e">
        <f t="shared" si="3"/>
        <v>#DIV/0!</v>
      </c>
    </row>
    <row r="35" spans="1:15" ht="43.5" x14ac:dyDescent="0.45">
      <c r="A35" s="15" t="s">
        <v>31</v>
      </c>
      <c r="B35" s="17"/>
      <c r="C35" s="17">
        <v>0</v>
      </c>
      <c r="D35" s="11">
        <v>1467</v>
      </c>
      <c r="E35" s="9">
        <v>60</v>
      </c>
      <c r="F35" s="10">
        <f t="shared" si="0"/>
        <v>4.0899795501022496</v>
      </c>
      <c r="G35" s="11">
        <v>1467</v>
      </c>
      <c r="H35" s="9">
        <v>100</v>
      </c>
      <c r="I35" s="12">
        <f t="shared" si="1"/>
        <v>6.8166325835037496</v>
      </c>
      <c r="J35" s="9">
        <v>1144</v>
      </c>
      <c r="K35" s="9">
        <v>48</v>
      </c>
      <c r="L35" s="10">
        <f t="shared" si="2"/>
        <v>4.1958041958041958</v>
      </c>
      <c r="M35" s="9"/>
      <c r="N35" s="9">
        <v>30</v>
      </c>
      <c r="O35" s="7" t="e">
        <f t="shared" si="3"/>
        <v>#DIV/0!</v>
      </c>
    </row>
    <row r="36" spans="1:15" ht="29" x14ac:dyDescent="0.45">
      <c r="A36" s="15" t="s">
        <v>32</v>
      </c>
      <c r="B36" s="17"/>
      <c r="C36" s="17">
        <v>0</v>
      </c>
      <c r="D36" s="11">
        <v>30</v>
      </c>
      <c r="E36" s="9">
        <v>6</v>
      </c>
      <c r="F36" s="10">
        <f t="shared" si="0"/>
        <v>20</v>
      </c>
      <c r="G36" s="11">
        <v>30</v>
      </c>
      <c r="H36" s="9">
        <v>10</v>
      </c>
      <c r="I36" s="12">
        <f t="shared" si="1"/>
        <v>33.333333333333329</v>
      </c>
      <c r="J36" s="9">
        <v>50</v>
      </c>
      <c r="K36" s="9">
        <v>21</v>
      </c>
      <c r="L36" s="10">
        <f t="shared" si="2"/>
        <v>42</v>
      </c>
      <c r="M36" s="9"/>
      <c r="N36" s="9">
        <v>0</v>
      </c>
      <c r="O36" s="7" t="e">
        <f t="shared" si="3"/>
        <v>#DIV/0!</v>
      </c>
    </row>
    <row r="37" spans="1:15" ht="16.5" x14ac:dyDescent="0.45">
      <c r="A37" s="15" t="s">
        <v>33</v>
      </c>
      <c r="B37" s="17"/>
      <c r="C37" s="17">
        <v>0</v>
      </c>
      <c r="D37" s="11">
        <v>112</v>
      </c>
      <c r="E37" s="9">
        <v>6</v>
      </c>
      <c r="F37" s="10">
        <f t="shared" si="0"/>
        <v>5.3571428571428568</v>
      </c>
      <c r="G37" s="11">
        <v>112</v>
      </c>
      <c r="H37" s="9">
        <v>7</v>
      </c>
      <c r="I37" s="12">
        <f t="shared" si="1"/>
        <v>6.25</v>
      </c>
      <c r="J37" s="9">
        <v>133</v>
      </c>
      <c r="K37" s="9">
        <v>14</v>
      </c>
      <c r="L37" s="10">
        <f t="shared" si="2"/>
        <v>10.526315789473683</v>
      </c>
      <c r="M37" s="9"/>
      <c r="N37" s="9">
        <v>0</v>
      </c>
      <c r="O37" s="7" t="e">
        <f t="shared" si="3"/>
        <v>#DIV/0!</v>
      </c>
    </row>
    <row r="38" spans="1:15" ht="29" x14ac:dyDescent="0.45">
      <c r="A38" s="16" t="s">
        <v>34</v>
      </c>
      <c r="B38" s="17"/>
      <c r="C38" s="17">
        <v>0</v>
      </c>
      <c r="D38" s="11">
        <v>61</v>
      </c>
      <c r="E38" s="9">
        <v>0</v>
      </c>
      <c r="F38" s="10">
        <f t="shared" si="0"/>
        <v>0</v>
      </c>
      <c r="G38" s="11">
        <v>61</v>
      </c>
      <c r="H38" s="9">
        <v>1</v>
      </c>
      <c r="I38" s="12">
        <f t="shared" si="1"/>
        <v>1.639344262295082</v>
      </c>
      <c r="J38" s="9">
        <v>105</v>
      </c>
      <c r="K38" s="9">
        <v>2</v>
      </c>
      <c r="L38" s="10">
        <f t="shared" si="2"/>
        <v>1.9047619047619049</v>
      </c>
      <c r="M38" s="9"/>
      <c r="N38" s="9">
        <v>0</v>
      </c>
      <c r="O38" s="7" t="e">
        <f t="shared" si="3"/>
        <v>#DIV/0!</v>
      </c>
    </row>
    <row r="39" spans="1:15" ht="16.5" x14ac:dyDescent="0.45">
      <c r="A39" s="16" t="s">
        <v>35</v>
      </c>
      <c r="B39" s="17"/>
      <c r="C39" s="17">
        <v>0</v>
      </c>
      <c r="D39" s="11">
        <v>117</v>
      </c>
      <c r="E39" s="9">
        <v>1</v>
      </c>
      <c r="F39" s="10">
        <f t="shared" si="0"/>
        <v>0.85470085470085477</v>
      </c>
      <c r="G39" s="11">
        <v>117</v>
      </c>
      <c r="H39" s="9">
        <v>2</v>
      </c>
      <c r="I39" s="12">
        <f t="shared" si="1"/>
        <v>1.7094017094017095</v>
      </c>
      <c r="J39" s="9">
        <v>64</v>
      </c>
      <c r="K39" s="9">
        <v>3</v>
      </c>
      <c r="L39" s="10">
        <f t="shared" si="2"/>
        <v>4.6875</v>
      </c>
      <c r="M39" s="9"/>
      <c r="N39" s="9">
        <v>0</v>
      </c>
      <c r="O39" s="7" t="e">
        <f t="shared" si="3"/>
        <v>#DIV/0!</v>
      </c>
    </row>
    <row r="40" spans="1:15" ht="16.5" x14ac:dyDescent="0.45">
      <c r="A40" s="16" t="s">
        <v>36</v>
      </c>
      <c r="B40" s="17"/>
      <c r="C40" s="17">
        <v>0</v>
      </c>
      <c r="D40" s="11">
        <v>62</v>
      </c>
      <c r="E40" s="9">
        <v>0</v>
      </c>
      <c r="F40" s="10">
        <f t="shared" si="0"/>
        <v>0</v>
      </c>
      <c r="G40" s="11">
        <v>62</v>
      </c>
      <c r="H40" s="9">
        <v>0</v>
      </c>
      <c r="I40" s="12">
        <f t="shared" si="1"/>
        <v>0</v>
      </c>
      <c r="J40" s="9">
        <v>69</v>
      </c>
      <c r="K40" s="9">
        <v>4</v>
      </c>
      <c r="L40" s="10">
        <f t="shared" si="2"/>
        <v>5.7971014492753623</v>
      </c>
      <c r="M40" s="9"/>
      <c r="N40" s="9">
        <v>0</v>
      </c>
      <c r="O40" s="7" t="e">
        <f t="shared" si="3"/>
        <v>#DIV/0!</v>
      </c>
    </row>
    <row r="41" spans="1:15" ht="16.5" x14ac:dyDescent="0.45">
      <c r="A41" s="16" t="s">
        <v>37</v>
      </c>
      <c r="B41" s="17"/>
      <c r="C41" s="17">
        <v>0</v>
      </c>
      <c r="D41" s="11">
        <v>62</v>
      </c>
      <c r="E41" s="9">
        <v>3</v>
      </c>
      <c r="F41" s="10">
        <f t="shared" si="0"/>
        <v>4.838709677419355</v>
      </c>
      <c r="G41" s="11">
        <v>62</v>
      </c>
      <c r="H41" s="9">
        <v>1</v>
      </c>
      <c r="I41" s="12">
        <f t="shared" si="1"/>
        <v>1.6129032258064515</v>
      </c>
      <c r="J41" s="9">
        <v>75</v>
      </c>
      <c r="K41" s="9">
        <v>6</v>
      </c>
      <c r="L41" s="10">
        <f t="shared" si="2"/>
        <v>8</v>
      </c>
      <c r="M41" s="9"/>
      <c r="N41" s="9">
        <v>0</v>
      </c>
      <c r="O41" s="7" t="e">
        <f t="shared" si="3"/>
        <v>#DIV/0!</v>
      </c>
    </row>
    <row r="42" spans="1:15" ht="16.5" x14ac:dyDescent="0.45">
      <c r="A42" s="16" t="s">
        <v>38</v>
      </c>
      <c r="B42" s="17"/>
      <c r="C42" s="17">
        <v>0</v>
      </c>
      <c r="D42" s="11">
        <v>130</v>
      </c>
      <c r="E42" s="9">
        <v>1</v>
      </c>
      <c r="F42" s="10">
        <f t="shared" si="0"/>
        <v>0.76923076923076927</v>
      </c>
      <c r="G42" s="11">
        <v>130</v>
      </c>
      <c r="H42" s="9">
        <v>0</v>
      </c>
      <c r="I42" s="12">
        <f t="shared" si="1"/>
        <v>0</v>
      </c>
      <c r="J42" s="9">
        <v>123</v>
      </c>
      <c r="K42" s="9">
        <v>2</v>
      </c>
      <c r="L42" s="10">
        <f t="shared" si="2"/>
        <v>1.6260162601626018</v>
      </c>
      <c r="M42" s="9"/>
      <c r="N42" s="9">
        <v>0</v>
      </c>
      <c r="O42" s="7" t="e">
        <f t="shared" si="3"/>
        <v>#DIV/0!</v>
      </c>
    </row>
    <row r="43" spans="1:15" ht="16.5" x14ac:dyDescent="0.45">
      <c r="A43" s="16" t="s">
        <v>39</v>
      </c>
      <c r="B43" s="17"/>
      <c r="C43" s="17">
        <v>0</v>
      </c>
      <c r="D43" s="11">
        <v>259</v>
      </c>
      <c r="E43" s="9">
        <v>17</v>
      </c>
      <c r="F43" s="10">
        <f t="shared" si="0"/>
        <v>6.563706563706563</v>
      </c>
      <c r="G43" s="11">
        <v>259</v>
      </c>
      <c r="H43" s="9">
        <v>25</v>
      </c>
      <c r="I43" s="12">
        <f t="shared" si="1"/>
        <v>9.6525096525096519</v>
      </c>
      <c r="J43" s="9">
        <v>208</v>
      </c>
      <c r="K43" s="9">
        <v>13</v>
      </c>
      <c r="L43" s="10">
        <f t="shared" si="2"/>
        <v>6.25</v>
      </c>
      <c r="M43" s="9"/>
      <c r="N43" s="9">
        <v>4</v>
      </c>
      <c r="O43" s="7" t="e">
        <f t="shared" si="3"/>
        <v>#DIV/0!</v>
      </c>
    </row>
    <row r="44" spans="1:15" ht="29" x14ac:dyDescent="0.45">
      <c r="A44" s="16" t="s">
        <v>40</v>
      </c>
      <c r="B44" s="17"/>
      <c r="C44" s="17">
        <v>0</v>
      </c>
      <c r="D44" s="11">
        <v>36</v>
      </c>
      <c r="E44" s="9">
        <v>0</v>
      </c>
      <c r="F44" s="10">
        <f t="shared" si="0"/>
        <v>0</v>
      </c>
      <c r="G44" s="11">
        <v>36</v>
      </c>
      <c r="H44" s="9">
        <v>1</v>
      </c>
      <c r="I44" s="12">
        <f t="shared" si="1"/>
        <v>2.7777777777777777</v>
      </c>
      <c r="J44" s="9">
        <v>36</v>
      </c>
      <c r="K44" s="9">
        <v>6</v>
      </c>
      <c r="L44" s="10">
        <f t="shared" si="2"/>
        <v>16.666666666666664</v>
      </c>
      <c r="M44" s="9"/>
      <c r="N44" s="9">
        <v>0</v>
      </c>
      <c r="O44" s="7" t="e">
        <f t="shared" si="3"/>
        <v>#DIV/0!</v>
      </c>
    </row>
    <row r="45" spans="1:15" ht="29" x14ac:dyDescent="0.45">
      <c r="A45" s="16" t="s">
        <v>41</v>
      </c>
      <c r="B45" s="17"/>
      <c r="C45" s="17">
        <v>0</v>
      </c>
      <c r="D45" s="11">
        <v>129</v>
      </c>
      <c r="E45" s="9">
        <v>0</v>
      </c>
      <c r="F45" s="10">
        <f t="shared" si="0"/>
        <v>0</v>
      </c>
      <c r="G45" s="11">
        <v>129</v>
      </c>
      <c r="H45" s="9">
        <v>0</v>
      </c>
      <c r="I45" s="12">
        <f t="shared" si="1"/>
        <v>0</v>
      </c>
      <c r="J45" s="9">
        <v>153</v>
      </c>
      <c r="K45" s="9">
        <v>0</v>
      </c>
      <c r="L45" s="10">
        <f t="shared" si="2"/>
        <v>0</v>
      </c>
      <c r="M45" s="9"/>
      <c r="N45" s="9">
        <v>0</v>
      </c>
      <c r="O45" s="7" t="e">
        <f t="shared" si="3"/>
        <v>#DIV/0!</v>
      </c>
    </row>
    <row r="46" spans="1:15" x14ac:dyDescent="0.35">
      <c r="A46" s="40" t="s">
        <v>50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x14ac:dyDescent="0.35">
      <c r="A47" s="34" t="s">
        <v>51</v>
      </c>
      <c r="B47" s="34"/>
      <c r="C47" s="34"/>
      <c r="D47" s="34"/>
      <c r="E47" s="34"/>
    </row>
    <row r="48" spans="1:15" x14ac:dyDescent="0.35">
      <c r="A48" s="35" t="s">
        <v>52</v>
      </c>
      <c r="B48" s="35"/>
      <c r="C48" s="35"/>
      <c r="D48" s="35"/>
      <c r="E48" s="35"/>
    </row>
  </sheetData>
  <mergeCells count="8">
    <mergeCell ref="A47:E47"/>
    <mergeCell ref="A48:E48"/>
    <mergeCell ref="A1:O1"/>
    <mergeCell ref="A2:O3"/>
    <mergeCell ref="A4:O4"/>
    <mergeCell ref="A5:L5"/>
    <mergeCell ref="M5:O5"/>
    <mergeCell ref="A46:L46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9"/>
  <sheetViews>
    <sheetView workbookViewId="0">
      <selection activeCell="M36" sqref="M36"/>
    </sheetView>
  </sheetViews>
  <sheetFormatPr baseColWidth="10" defaultRowHeight="14.5" x14ac:dyDescent="0.35"/>
  <sheetData>
    <row r="1" spans="1:15" x14ac:dyDescent="0.35">
      <c r="A1" t="s">
        <v>60</v>
      </c>
    </row>
    <row r="2" spans="1:15" ht="14.25" customHeight="1" x14ac:dyDescent="0.55000000000000004">
      <c r="A2" s="36" t="s">
        <v>53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ht="14.25" customHeight="1" x14ac:dyDescent="0.35">
      <c r="A3" s="37" t="s">
        <v>47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1:15" x14ac:dyDescent="0.3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 ht="15" customHeight="1" x14ac:dyDescent="0.35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5" x14ac:dyDescent="0.35">
      <c r="A6" s="39" t="s">
        <v>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42" t="s">
        <v>49</v>
      </c>
      <c r="N6" s="42"/>
      <c r="O6" s="42"/>
    </row>
    <row r="7" spans="1:15" ht="43.5" x14ac:dyDescent="0.35">
      <c r="A7" s="5" t="s">
        <v>2</v>
      </c>
      <c r="B7" s="5" t="s">
        <v>42</v>
      </c>
      <c r="C7" s="6" t="s">
        <v>54</v>
      </c>
      <c r="D7" s="5" t="s">
        <v>42</v>
      </c>
      <c r="E7" s="6" t="s">
        <v>45</v>
      </c>
      <c r="F7" s="6" t="s">
        <v>44</v>
      </c>
      <c r="G7" s="5" t="s">
        <v>42</v>
      </c>
      <c r="H7" s="6" t="s">
        <v>46</v>
      </c>
      <c r="I7" s="6" t="s">
        <v>44</v>
      </c>
      <c r="J7" s="5" t="s">
        <v>42</v>
      </c>
      <c r="K7" s="6" t="s">
        <v>43</v>
      </c>
      <c r="L7" s="5" t="s">
        <v>44</v>
      </c>
      <c r="M7" s="5" t="s">
        <v>42</v>
      </c>
      <c r="N7" s="6" t="s">
        <v>48</v>
      </c>
      <c r="O7" s="5" t="s">
        <v>44</v>
      </c>
    </row>
    <row r="8" spans="1:15" ht="16.5" x14ac:dyDescent="0.45">
      <c r="A8" s="13" t="s">
        <v>3</v>
      </c>
      <c r="B8" s="17"/>
      <c r="C8" s="18">
        <v>305</v>
      </c>
      <c r="D8" s="11">
        <v>8431</v>
      </c>
      <c r="E8" s="7">
        <v>835</v>
      </c>
      <c r="F8" s="10">
        <f t="shared" ref="F8:F46" si="0">SUM(E8/D8*100)</f>
        <v>9.9039259874273515</v>
      </c>
      <c r="G8" s="11">
        <v>8431</v>
      </c>
      <c r="H8" s="8">
        <v>719</v>
      </c>
      <c r="I8" s="12">
        <f>SUM(H8/G8*100)</f>
        <v>8.5280512394733723</v>
      </c>
      <c r="J8" s="8">
        <v>10719</v>
      </c>
      <c r="K8" s="8">
        <v>937</v>
      </c>
      <c r="L8" s="10">
        <f>SUM(K8/J8*100)</f>
        <v>8.7414870790185653</v>
      </c>
      <c r="M8" s="8"/>
      <c r="N8" s="8">
        <v>812</v>
      </c>
      <c r="O8" s="7" t="e">
        <f>SUM(N8/M8*100)</f>
        <v>#DIV/0!</v>
      </c>
    </row>
    <row r="9" spans="1:15" ht="29" x14ac:dyDescent="0.45">
      <c r="A9" s="13" t="s">
        <v>4</v>
      </c>
      <c r="B9" s="17"/>
      <c r="C9" s="17">
        <v>21</v>
      </c>
      <c r="D9" s="11">
        <v>576</v>
      </c>
      <c r="E9" s="9">
        <v>54</v>
      </c>
      <c r="F9" s="10">
        <f t="shared" si="0"/>
        <v>9.375</v>
      </c>
      <c r="G9" s="11">
        <v>576</v>
      </c>
      <c r="H9" s="9">
        <v>49</v>
      </c>
      <c r="I9" s="12">
        <f t="shared" ref="I9:I46" si="1">SUM(H9/G9*100)</f>
        <v>8.5069444444444446</v>
      </c>
      <c r="J9" s="9">
        <v>657</v>
      </c>
      <c r="K9" s="9">
        <v>65</v>
      </c>
      <c r="L9" s="10">
        <f t="shared" ref="L9:L46" si="2">SUM(K9/J9*100)</f>
        <v>9.8934550989345507</v>
      </c>
      <c r="M9" s="9"/>
      <c r="N9" s="9">
        <v>50</v>
      </c>
      <c r="O9" s="7" t="e">
        <f t="shared" ref="O9:O46" si="3">SUM(N9/M9*100)</f>
        <v>#DIV/0!</v>
      </c>
    </row>
    <row r="10" spans="1:15" ht="16.5" x14ac:dyDescent="0.45">
      <c r="A10" s="13" t="s">
        <v>5</v>
      </c>
      <c r="B10" s="17"/>
      <c r="C10" s="17">
        <v>52</v>
      </c>
      <c r="D10" s="11">
        <v>1425</v>
      </c>
      <c r="E10" s="9">
        <v>70</v>
      </c>
      <c r="F10" s="10">
        <f t="shared" si="0"/>
        <v>4.9122807017543861</v>
      </c>
      <c r="G10" s="11">
        <v>1425</v>
      </c>
      <c r="H10" s="9">
        <v>91</v>
      </c>
      <c r="I10" s="12">
        <f t="shared" si="1"/>
        <v>6.3859649122807021</v>
      </c>
      <c r="J10" s="9">
        <v>1082</v>
      </c>
      <c r="K10" s="9">
        <v>104</v>
      </c>
      <c r="L10" s="10">
        <f t="shared" si="2"/>
        <v>9.611829944547134</v>
      </c>
      <c r="M10" s="9"/>
      <c r="N10" s="9">
        <v>4</v>
      </c>
      <c r="O10" s="7" t="e">
        <f t="shared" si="3"/>
        <v>#DIV/0!</v>
      </c>
    </row>
    <row r="11" spans="1:15" ht="29" x14ac:dyDescent="0.45">
      <c r="A11" s="13" t="s">
        <v>6</v>
      </c>
      <c r="B11" s="17"/>
      <c r="C11" s="17">
        <v>3</v>
      </c>
      <c r="D11" s="11">
        <v>488</v>
      </c>
      <c r="E11" s="9">
        <v>14</v>
      </c>
      <c r="F11" s="10">
        <f t="shared" si="0"/>
        <v>2.8688524590163933</v>
      </c>
      <c r="G11" s="11">
        <v>488</v>
      </c>
      <c r="H11" s="9">
        <v>21</v>
      </c>
      <c r="I11" s="12">
        <f t="shared" si="1"/>
        <v>4.3032786885245899</v>
      </c>
      <c r="J11" s="9">
        <v>514</v>
      </c>
      <c r="K11" s="9">
        <v>33</v>
      </c>
      <c r="L11" s="10">
        <f t="shared" si="2"/>
        <v>6.4202334630350189</v>
      </c>
      <c r="M11" s="9"/>
      <c r="N11" s="9">
        <v>10</v>
      </c>
      <c r="O11" s="7" t="e">
        <f t="shared" si="3"/>
        <v>#DIV/0!</v>
      </c>
    </row>
    <row r="12" spans="1:15" ht="29" x14ac:dyDescent="0.45">
      <c r="A12" s="13" t="s">
        <v>7</v>
      </c>
      <c r="B12" s="17"/>
      <c r="C12" s="17">
        <v>21</v>
      </c>
      <c r="D12" s="11">
        <v>224</v>
      </c>
      <c r="E12" s="9">
        <v>7</v>
      </c>
      <c r="F12" s="10">
        <f t="shared" si="0"/>
        <v>3.125</v>
      </c>
      <c r="G12" s="11">
        <v>224</v>
      </c>
      <c r="H12" s="9">
        <v>26</v>
      </c>
      <c r="I12" s="12">
        <f t="shared" si="1"/>
        <v>11.607142857142858</v>
      </c>
      <c r="J12" s="9">
        <v>243</v>
      </c>
      <c r="K12" s="9">
        <v>25</v>
      </c>
      <c r="L12" s="10">
        <f t="shared" si="2"/>
        <v>10.2880658436214</v>
      </c>
      <c r="M12" s="9"/>
      <c r="N12" s="9">
        <v>0</v>
      </c>
      <c r="O12" s="7" t="e">
        <f t="shared" si="3"/>
        <v>#DIV/0!</v>
      </c>
    </row>
    <row r="13" spans="1:15" ht="16.5" x14ac:dyDescent="0.45">
      <c r="A13" s="13" t="s">
        <v>8</v>
      </c>
      <c r="B13" s="17"/>
      <c r="C13" s="17">
        <v>9</v>
      </c>
      <c r="D13" s="11">
        <v>135</v>
      </c>
      <c r="E13" s="9">
        <v>12</v>
      </c>
      <c r="F13" s="10">
        <f t="shared" si="0"/>
        <v>8.8888888888888893</v>
      </c>
      <c r="G13" s="11">
        <v>135</v>
      </c>
      <c r="H13" s="9">
        <v>19</v>
      </c>
      <c r="I13" s="12">
        <f t="shared" si="1"/>
        <v>14.074074074074074</v>
      </c>
      <c r="J13" s="9">
        <v>190</v>
      </c>
      <c r="K13" s="9">
        <v>23</v>
      </c>
      <c r="L13" s="10">
        <f t="shared" si="2"/>
        <v>12.105263157894736</v>
      </c>
      <c r="M13" s="9"/>
      <c r="N13" s="9">
        <v>10</v>
      </c>
      <c r="O13" s="7" t="e">
        <f t="shared" si="3"/>
        <v>#DIV/0!</v>
      </c>
    </row>
    <row r="14" spans="1:15" ht="29" x14ac:dyDescent="0.45">
      <c r="A14" s="13" t="s">
        <v>9</v>
      </c>
      <c r="B14" s="17"/>
      <c r="C14" s="17">
        <v>57</v>
      </c>
      <c r="D14" s="11">
        <v>1283</v>
      </c>
      <c r="E14" s="9">
        <v>66</v>
      </c>
      <c r="F14" s="10">
        <f t="shared" si="0"/>
        <v>5.1441932969602489</v>
      </c>
      <c r="G14" s="11">
        <v>1283</v>
      </c>
      <c r="H14" s="9">
        <v>70</v>
      </c>
      <c r="I14" s="12">
        <f t="shared" si="1"/>
        <v>5.4559625876851126</v>
      </c>
      <c r="J14" s="9">
        <v>1399</v>
      </c>
      <c r="K14" s="9">
        <v>96</v>
      </c>
      <c r="L14" s="10">
        <f t="shared" si="2"/>
        <v>6.8620443173695493</v>
      </c>
      <c r="M14" s="9"/>
      <c r="N14" s="9">
        <v>12</v>
      </c>
      <c r="O14" s="7" t="e">
        <f t="shared" si="3"/>
        <v>#DIV/0!</v>
      </c>
    </row>
    <row r="15" spans="1:15" ht="16.5" x14ac:dyDescent="0.45">
      <c r="A15" s="13" t="s">
        <v>10</v>
      </c>
      <c r="B15" s="17"/>
      <c r="C15" s="17">
        <v>6</v>
      </c>
      <c r="D15" s="11">
        <v>581</v>
      </c>
      <c r="E15" s="9">
        <v>29</v>
      </c>
      <c r="F15" s="10">
        <f t="shared" si="0"/>
        <v>4.9913941480206541</v>
      </c>
      <c r="G15" s="11">
        <v>581</v>
      </c>
      <c r="H15" s="9">
        <v>47</v>
      </c>
      <c r="I15" s="12">
        <f t="shared" si="1"/>
        <v>8.0895008605851988</v>
      </c>
      <c r="J15" s="9">
        <v>608</v>
      </c>
      <c r="K15" s="9">
        <v>35</v>
      </c>
      <c r="L15" s="10">
        <f t="shared" si="2"/>
        <v>5.7565789473684212</v>
      </c>
      <c r="M15" s="9"/>
      <c r="N15" s="9">
        <v>0</v>
      </c>
      <c r="O15" s="7" t="e">
        <f t="shared" si="3"/>
        <v>#DIV/0!</v>
      </c>
    </row>
    <row r="16" spans="1:15" ht="16.5" x14ac:dyDescent="0.45">
      <c r="A16" s="13" t="s">
        <v>11</v>
      </c>
      <c r="B16" s="17"/>
      <c r="C16" s="17">
        <v>19</v>
      </c>
      <c r="D16" s="11">
        <v>166</v>
      </c>
      <c r="E16" s="9">
        <v>5</v>
      </c>
      <c r="F16" s="10">
        <f t="shared" si="0"/>
        <v>3.0120481927710845</v>
      </c>
      <c r="G16" s="11">
        <v>166</v>
      </c>
      <c r="H16" s="9">
        <v>24</v>
      </c>
      <c r="I16" s="12">
        <f t="shared" si="1"/>
        <v>14.457831325301203</v>
      </c>
      <c r="J16" s="9">
        <v>177</v>
      </c>
      <c r="K16" s="9">
        <v>25</v>
      </c>
      <c r="L16" s="10">
        <f t="shared" si="2"/>
        <v>14.124293785310735</v>
      </c>
      <c r="M16" s="9"/>
      <c r="N16" s="9">
        <v>20</v>
      </c>
      <c r="O16" s="7" t="e">
        <f t="shared" si="3"/>
        <v>#DIV/0!</v>
      </c>
    </row>
    <row r="17" spans="1:15" ht="16.5" x14ac:dyDescent="0.45">
      <c r="A17" s="13" t="s">
        <v>12</v>
      </c>
      <c r="B17" s="17"/>
      <c r="C17" s="17">
        <v>24</v>
      </c>
      <c r="D17" s="11">
        <v>952</v>
      </c>
      <c r="E17" s="9">
        <v>44</v>
      </c>
      <c r="F17" s="10">
        <f t="shared" si="0"/>
        <v>4.6218487394957988</v>
      </c>
      <c r="G17" s="11">
        <v>952</v>
      </c>
      <c r="H17" s="9">
        <v>46</v>
      </c>
      <c r="I17" s="12">
        <f t="shared" si="1"/>
        <v>4.8319327731092443</v>
      </c>
      <c r="J17" s="9">
        <v>851</v>
      </c>
      <c r="K17" s="9">
        <v>101</v>
      </c>
      <c r="L17" s="10">
        <f t="shared" si="2"/>
        <v>11.868390129259694</v>
      </c>
      <c r="M17" s="9"/>
      <c r="N17" s="9">
        <v>0</v>
      </c>
      <c r="O17" s="7" t="e">
        <f t="shared" si="3"/>
        <v>#DIV/0!</v>
      </c>
    </row>
    <row r="18" spans="1:15" ht="29" x14ac:dyDescent="0.45">
      <c r="A18" s="13" t="s">
        <v>13</v>
      </c>
      <c r="B18" s="17"/>
      <c r="C18" s="17">
        <v>8</v>
      </c>
      <c r="D18" s="11">
        <v>403</v>
      </c>
      <c r="E18" s="9">
        <v>72</v>
      </c>
      <c r="F18" s="10">
        <f t="shared" si="0"/>
        <v>17.866004962779154</v>
      </c>
      <c r="G18" s="11">
        <v>403</v>
      </c>
      <c r="H18" s="9">
        <v>48</v>
      </c>
      <c r="I18" s="12">
        <f t="shared" si="1"/>
        <v>11.910669975186105</v>
      </c>
      <c r="J18" s="9">
        <v>254</v>
      </c>
      <c r="K18" s="9">
        <v>55</v>
      </c>
      <c r="L18" s="10">
        <f t="shared" si="2"/>
        <v>21.653543307086615</v>
      </c>
      <c r="M18" s="9"/>
      <c r="N18" s="9">
        <v>0</v>
      </c>
      <c r="O18" s="7" t="e">
        <f t="shared" si="3"/>
        <v>#DIV/0!</v>
      </c>
    </row>
    <row r="19" spans="1:15" ht="16.5" x14ac:dyDescent="0.45">
      <c r="A19" s="14" t="s">
        <v>14</v>
      </c>
      <c r="B19" s="17"/>
      <c r="C19" s="17">
        <v>0</v>
      </c>
      <c r="D19" s="11">
        <v>643</v>
      </c>
      <c r="E19" s="9">
        <v>68</v>
      </c>
      <c r="F19" s="10">
        <f t="shared" si="0"/>
        <v>10.575427682737169</v>
      </c>
      <c r="G19" s="11">
        <v>643</v>
      </c>
      <c r="H19" s="9">
        <v>36</v>
      </c>
      <c r="I19" s="12">
        <f t="shared" si="1"/>
        <v>5.598755832037325</v>
      </c>
      <c r="J19" s="9">
        <v>843</v>
      </c>
      <c r="K19" s="9">
        <v>54</v>
      </c>
      <c r="L19" s="10">
        <f t="shared" si="2"/>
        <v>6.4056939501779357</v>
      </c>
      <c r="M19" s="9"/>
      <c r="N19" s="9">
        <v>28</v>
      </c>
      <c r="O19" s="7" t="e">
        <f t="shared" si="3"/>
        <v>#DIV/0!</v>
      </c>
    </row>
    <row r="20" spans="1:15" ht="43.5" x14ac:dyDescent="0.45">
      <c r="A20" s="14" t="s">
        <v>15</v>
      </c>
      <c r="B20" s="17"/>
      <c r="C20" s="17">
        <v>0</v>
      </c>
      <c r="D20" s="11">
        <v>236</v>
      </c>
      <c r="E20" s="9">
        <v>15</v>
      </c>
      <c r="F20" s="10">
        <f t="shared" si="0"/>
        <v>6.3559322033898304</v>
      </c>
      <c r="G20" s="11">
        <v>236</v>
      </c>
      <c r="H20" s="9">
        <v>18</v>
      </c>
      <c r="I20" s="12">
        <f t="shared" si="1"/>
        <v>7.6271186440677967</v>
      </c>
      <c r="J20" s="9">
        <v>231</v>
      </c>
      <c r="K20" s="9">
        <v>18</v>
      </c>
      <c r="L20" s="10">
        <f t="shared" si="2"/>
        <v>7.7922077922077921</v>
      </c>
      <c r="M20" s="9"/>
      <c r="N20" s="9">
        <v>15</v>
      </c>
      <c r="O20" s="7" t="e">
        <f t="shared" si="3"/>
        <v>#DIV/0!</v>
      </c>
    </row>
    <row r="21" spans="1:15" ht="29" x14ac:dyDescent="0.45">
      <c r="A21" s="14" t="s">
        <v>16</v>
      </c>
      <c r="B21" s="17"/>
      <c r="C21" s="17">
        <v>0</v>
      </c>
      <c r="D21" s="11">
        <v>5736</v>
      </c>
      <c r="E21" s="9">
        <v>410</v>
      </c>
      <c r="F21" s="10">
        <f t="shared" si="0"/>
        <v>7.147838214783822</v>
      </c>
      <c r="G21" s="11">
        <v>5736</v>
      </c>
      <c r="H21" s="9">
        <v>305</v>
      </c>
      <c r="I21" s="12">
        <f t="shared" si="1"/>
        <v>5.3172942817294278</v>
      </c>
      <c r="J21" s="9">
        <v>6878</v>
      </c>
      <c r="K21" s="9">
        <v>358</v>
      </c>
      <c r="L21" s="10">
        <f t="shared" si="2"/>
        <v>5.205001453911021</v>
      </c>
      <c r="M21" s="9"/>
      <c r="N21" s="9">
        <v>143</v>
      </c>
      <c r="O21" s="7" t="e">
        <f t="shared" si="3"/>
        <v>#DIV/0!</v>
      </c>
    </row>
    <row r="22" spans="1:15" ht="16.5" x14ac:dyDescent="0.45">
      <c r="A22" s="14" t="s">
        <v>17</v>
      </c>
      <c r="B22" s="17"/>
      <c r="C22" s="17">
        <v>0</v>
      </c>
      <c r="D22" s="11">
        <v>2230</v>
      </c>
      <c r="E22" s="9">
        <v>292</v>
      </c>
      <c r="F22" s="10">
        <f t="shared" si="0"/>
        <v>13.094170403587443</v>
      </c>
      <c r="G22" s="11">
        <v>2230</v>
      </c>
      <c r="H22" s="9">
        <v>276</v>
      </c>
      <c r="I22" s="12">
        <f t="shared" si="1"/>
        <v>12.376681614349776</v>
      </c>
      <c r="J22" s="9">
        <v>2609</v>
      </c>
      <c r="K22" s="9">
        <v>370</v>
      </c>
      <c r="L22" s="10">
        <f t="shared" si="2"/>
        <v>14.181678804139516</v>
      </c>
      <c r="M22" s="9"/>
      <c r="N22" s="9">
        <v>566</v>
      </c>
      <c r="O22" s="7" t="e">
        <f t="shared" si="3"/>
        <v>#DIV/0!</v>
      </c>
    </row>
    <row r="23" spans="1:15" ht="16.5" x14ac:dyDescent="0.45">
      <c r="A23" s="14" t="s">
        <v>18</v>
      </c>
      <c r="B23" s="17"/>
      <c r="C23" s="17">
        <v>0</v>
      </c>
      <c r="D23" s="11">
        <v>543</v>
      </c>
      <c r="E23" s="9">
        <v>73</v>
      </c>
      <c r="F23" s="10">
        <f t="shared" si="0"/>
        <v>13.443830570902392</v>
      </c>
      <c r="G23" s="11">
        <v>543</v>
      </c>
      <c r="H23" s="9">
        <v>45</v>
      </c>
      <c r="I23" s="12">
        <f t="shared" si="1"/>
        <v>8.2872928176795568</v>
      </c>
      <c r="J23" s="9">
        <v>634</v>
      </c>
      <c r="K23" s="9">
        <v>74</v>
      </c>
      <c r="L23" s="10">
        <f t="shared" si="2"/>
        <v>11.67192429022082</v>
      </c>
      <c r="M23" s="9"/>
      <c r="N23" s="9">
        <v>0</v>
      </c>
      <c r="O23" s="7" t="e">
        <f t="shared" si="3"/>
        <v>#DIV/0!</v>
      </c>
    </row>
    <row r="24" spans="1:15" ht="16.5" x14ac:dyDescent="0.45">
      <c r="A24" s="14" t="s">
        <v>19</v>
      </c>
      <c r="B24" s="17"/>
      <c r="C24" s="17">
        <v>0</v>
      </c>
      <c r="D24" s="11">
        <v>284</v>
      </c>
      <c r="E24" s="9">
        <v>33</v>
      </c>
      <c r="F24" s="10">
        <f t="shared" si="0"/>
        <v>11.619718309859154</v>
      </c>
      <c r="G24" s="11">
        <v>284</v>
      </c>
      <c r="H24" s="9">
        <v>32</v>
      </c>
      <c r="I24" s="12">
        <f t="shared" si="1"/>
        <v>11.267605633802818</v>
      </c>
      <c r="J24" s="9">
        <v>376</v>
      </c>
      <c r="K24" s="9">
        <v>46</v>
      </c>
      <c r="L24" s="10">
        <f t="shared" si="2"/>
        <v>12.23404255319149</v>
      </c>
      <c r="M24" s="9"/>
      <c r="N24" s="9">
        <v>0</v>
      </c>
      <c r="O24" s="7" t="e">
        <f t="shared" si="3"/>
        <v>#DIV/0!</v>
      </c>
    </row>
    <row r="25" spans="1:15" ht="29" x14ac:dyDescent="0.45">
      <c r="A25" s="14" t="s">
        <v>20</v>
      </c>
      <c r="B25" s="17"/>
      <c r="C25" s="17">
        <v>0</v>
      </c>
      <c r="D25" s="11">
        <v>220</v>
      </c>
      <c r="E25" s="9">
        <v>26</v>
      </c>
      <c r="F25" s="10">
        <f t="shared" si="0"/>
        <v>11.818181818181818</v>
      </c>
      <c r="G25" s="11">
        <v>220</v>
      </c>
      <c r="H25" s="9">
        <v>37</v>
      </c>
      <c r="I25" s="12">
        <f t="shared" si="1"/>
        <v>16.818181818181817</v>
      </c>
      <c r="J25" s="9">
        <v>212</v>
      </c>
      <c r="K25" s="9">
        <v>105</v>
      </c>
      <c r="L25" s="10">
        <f t="shared" si="2"/>
        <v>49.528301886792455</v>
      </c>
      <c r="M25" s="9"/>
      <c r="N25" s="9">
        <v>0</v>
      </c>
      <c r="O25" s="7" t="e">
        <f t="shared" si="3"/>
        <v>#DIV/0!</v>
      </c>
    </row>
    <row r="26" spans="1:15" ht="29" x14ac:dyDescent="0.45">
      <c r="A26" s="14" t="s">
        <v>21</v>
      </c>
      <c r="B26" s="17"/>
      <c r="C26" s="17">
        <v>0</v>
      </c>
      <c r="D26" s="11">
        <v>228</v>
      </c>
      <c r="E26" s="9">
        <v>15</v>
      </c>
      <c r="F26" s="10">
        <f t="shared" si="0"/>
        <v>6.5789473684210522</v>
      </c>
      <c r="G26" s="11">
        <v>228</v>
      </c>
      <c r="H26" s="9">
        <v>14</v>
      </c>
      <c r="I26" s="12">
        <f t="shared" si="1"/>
        <v>6.140350877192982</v>
      </c>
      <c r="J26" s="9">
        <v>219</v>
      </c>
      <c r="K26" s="9">
        <v>23</v>
      </c>
      <c r="L26" s="10">
        <f t="shared" si="2"/>
        <v>10.50228310502283</v>
      </c>
      <c r="M26" s="9"/>
      <c r="N26" s="9">
        <v>15</v>
      </c>
      <c r="O26" s="7" t="e">
        <f t="shared" si="3"/>
        <v>#DIV/0!</v>
      </c>
    </row>
    <row r="27" spans="1:15" ht="29" x14ac:dyDescent="0.45">
      <c r="A27" s="14" t="s">
        <v>22</v>
      </c>
      <c r="B27" s="17"/>
      <c r="C27" s="17">
        <v>0</v>
      </c>
      <c r="D27" s="11">
        <v>33</v>
      </c>
      <c r="E27" s="9">
        <v>13</v>
      </c>
      <c r="F27" s="10">
        <f t="shared" si="0"/>
        <v>39.393939393939391</v>
      </c>
      <c r="G27" s="11">
        <v>33</v>
      </c>
      <c r="H27" s="9">
        <v>2</v>
      </c>
      <c r="I27" s="12">
        <f t="shared" si="1"/>
        <v>6.0606060606060606</v>
      </c>
      <c r="J27" s="9">
        <v>38</v>
      </c>
      <c r="K27" s="9">
        <v>0</v>
      </c>
      <c r="L27" s="10">
        <f t="shared" si="2"/>
        <v>0</v>
      </c>
      <c r="M27" s="9"/>
      <c r="N27" s="9">
        <v>0</v>
      </c>
      <c r="O27" s="7" t="e">
        <f t="shared" si="3"/>
        <v>#DIV/0!</v>
      </c>
    </row>
    <row r="28" spans="1:15" ht="29" x14ac:dyDescent="0.45">
      <c r="A28" s="14" t="s">
        <v>23</v>
      </c>
      <c r="B28" s="17"/>
      <c r="C28" s="17">
        <v>0</v>
      </c>
      <c r="D28" s="11">
        <v>38</v>
      </c>
      <c r="E28" s="9">
        <v>4</v>
      </c>
      <c r="F28" s="10">
        <f t="shared" si="0"/>
        <v>10.526315789473683</v>
      </c>
      <c r="G28" s="11">
        <v>38</v>
      </c>
      <c r="H28" s="9">
        <v>1</v>
      </c>
      <c r="I28" s="12">
        <f t="shared" si="1"/>
        <v>2.6315789473684208</v>
      </c>
      <c r="J28" s="9">
        <v>41</v>
      </c>
      <c r="K28" s="9">
        <v>1</v>
      </c>
      <c r="L28" s="10">
        <f t="shared" si="2"/>
        <v>2.4390243902439024</v>
      </c>
      <c r="M28" s="9"/>
      <c r="N28" s="9">
        <v>0</v>
      </c>
      <c r="O28" s="7" t="e">
        <f t="shared" si="3"/>
        <v>#DIV/0!</v>
      </c>
    </row>
    <row r="29" spans="1:15" ht="16.5" x14ac:dyDescent="0.45">
      <c r="A29" s="14" t="s">
        <v>24</v>
      </c>
      <c r="B29" s="17"/>
      <c r="C29" s="17">
        <v>0</v>
      </c>
      <c r="D29" s="11">
        <v>130</v>
      </c>
      <c r="E29" s="9">
        <v>9</v>
      </c>
      <c r="F29" s="10">
        <f t="shared" si="0"/>
        <v>6.9230769230769234</v>
      </c>
      <c r="G29" s="11">
        <v>130</v>
      </c>
      <c r="H29" s="9">
        <v>24</v>
      </c>
      <c r="I29" s="12">
        <f t="shared" si="1"/>
        <v>18.461538461538463</v>
      </c>
      <c r="J29" s="9">
        <v>140</v>
      </c>
      <c r="K29" s="9">
        <v>26</v>
      </c>
      <c r="L29" s="10">
        <f t="shared" si="2"/>
        <v>18.571428571428573</v>
      </c>
      <c r="M29" s="9"/>
      <c r="N29" s="9">
        <v>0</v>
      </c>
      <c r="O29" s="7" t="e">
        <f t="shared" si="3"/>
        <v>#DIV/0!</v>
      </c>
    </row>
    <row r="30" spans="1:15" ht="16.5" x14ac:dyDescent="0.45">
      <c r="A30" s="14" t="s">
        <v>25</v>
      </c>
      <c r="B30" s="17"/>
      <c r="C30" s="17">
        <v>0</v>
      </c>
      <c r="D30" s="11">
        <v>278</v>
      </c>
      <c r="E30" s="9">
        <v>29</v>
      </c>
      <c r="F30" s="10">
        <f t="shared" si="0"/>
        <v>10.431654676258994</v>
      </c>
      <c r="G30" s="11">
        <v>278</v>
      </c>
      <c r="H30" s="9">
        <v>30</v>
      </c>
      <c r="I30" s="12">
        <f t="shared" si="1"/>
        <v>10.791366906474821</v>
      </c>
      <c r="J30" s="9">
        <v>348</v>
      </c>
      <c r="K30" s="9">
        <v>87</v>
      </c>
      <c r="L30" s="10">
        <f t="shared" si="2"/>
        <v>25</v>
      </c>
      <c r="M30" s="9"/>
      <c r="N30" s="9">
        <v>3</v>
      </c>
      <c r="O30" s="7" t="e">
        <f t="shared" si="3"/>
        <v>#DIV/0!</v>
      </c>
    </row>
    <row r="31" spans="1:15" ht="16.5" x14ac:dyDescent="0.45">
      <c r="A31" s="15" t="s">
        <v>26</v>
      </c>
      <c r="B31" s="17"/>
      <c r="C31" s="17">
        <v>0</v>
      </c>
      <c r="D31" s="11">
        <v>499</v>
      </c>
      <c r="E31" s="9">
        <v>33</v>
      </c>
      <c r="F31" s="10">
        <f t="shared" si="0"/>
        <v>6.6132264529058116</v>
      </c>
      <c r="G31" s="11">
        <v>499</v>
      </c>
      <c r="H31" s="9">
        <v>27</v>
      </c>
      <c r="I31" s="12">
        <f t="shared" si="1"/>
        <v>5.4108216432865728</v>
      </c>
      <c r="J31" s="9">
        <v>560</v>
      </c>
      <c r="K31" s="9">
        <v>30</v>
      </c>
      <c r="L31" s="10">
        <f t="shared" si="2"/>
        <v>5.3571428571428568</v>
      </c>
      <c r="M31" s="9"/>
      <c r="N31" s="9">
        <v>0</v>
      </c>
      <c r="O31" s="7" t="e">
        <f t="shared" si="3"/>
        <v>#DIV/0!</v>
      </c>
    </row>
    <row r="32" spans="1:15" ht="16.5" x14ac:dyDescent="0.45">
      <c r="A32" s="15" t="s">
        <v>27</v>
      </c>
      <c r="B32" s="17"/>
      <c r="C32" s="17">
        <v>0</v>
      </c>
      <c r="D32" s="11">
        <v>54</v>
      </c>
      <c r="E32" s="9">
        <v>3</v>
      </c>
      <c r="F32" s="10">
        <f t="shared" si="0"/>
        <v>5.5555555555555554</v>
      </c>
      <c r="G32" s="11">
        <v>54</v>
      </c>
      <c r="H32" s="9">
        <v>17</v>
      </c>
      <c r="I32" s="12">
        <f t="shared" si="1"/>
        <v>31.481481481481481</v>
      </c>
      <c r="J32" s="9">
        <v>51</v>
      </c>
      <c r="K32" s="9">
        <v>15</v>
      </c>
      <c r="L32" s="10">
        <f t="shared" si="2"/>
        <v>29.411764705882355</v>
      </c>
      <c r="M32" s="9"/>
      <c r="N32" s="9">
        <v>0</v>
      </c>
      <c r="O32" s="7" t="e">
        <f t="shared" si="3"/>
        <v>#DIV/0!</v>
      </c>
    </row>
    <row r="33" spans="1:15" ht="16.5" x14ac:dyDescent="0.45">
      <c r="A33" s="15" t="s">
        <v>28</v>
      </c>
      <c r="B33" s="17"/>
      <c r="C33" s="17">
        <v>0</v>
      </c>
      <c r="D33" s="11">
        <v>137</v>
      </c>
      <c r="E33" s="9">
        <v>12</v>
      </c>
      <c r="F33" s="10">
        <f t="shared" si="0"/>
        <v>8.7591240875912408</v>
      </c>
      <c r="G33" s="11">
        <v>137</v>
      </c>
      <c r="H33" s="9">
        <v>16</v>
      </c>
      <c r="I33" s="12">
        <f t="shared" si="1"/>
        <v>11.678832116788321</v>
      </c>
      <c r="J33" s="9">
        <v>184</v>
      </c>
      <c r="K33" s="9">
        <v>10</v>
      </c>
      <c r="L33" s="10">
        <f t="shared" si="2"/>
        <v>5.4347826086956523</v>
      </c>
      <c r="M33" s="9"/>
      <c r="N33" s="9">
        <v>0</v>
      </c>
      <c r="O33" s="7" t="e">
        <f t="shared" si="3"/>
        <v>#DIV/0!</v>
      </c>
    </row>
    <row r="34" spans="1:15" ht="16.5" x14ac:dyDescent="0.45">
      <c r="A34" s="15" t="s">
        <v>29</v>
      </c>
      <c r="B34" s="17"/>
      <c r="C34" s="17">
        <v>0</v>
      </c>
      <c r="D34" s="11">
        <v>443</v>
      </c>
      <c r="E34" s="9">
        <v>153</v>
      </c>
      <c r="F34" s="10">
        <f t="shared" si="0"/>
        <v>34.537246049661405</v>
      </c>
      <c r="G34" s="11">
        <v>443</v>
      </c>
      <c r="H34" s="9">
        <v>173</v>
      </c>
      <c r="I34" s="12">
        <f t="shared" si="1"/>
        <v>39.051918735891647</v>
      </c>
      <c r="J34" s="9">
        <v>425</v>
      </c>
      <c r="K34" s="9">
        <v>121</v>
      </c>
      <c r="L34" s="10">
        <f t="shared" si="2"/>
        <v>28.47058823529412</v>
      </c>
      <c r="M34" s="9"/>
      <c r="N34" s="9">
        <v>240</v>
      </c>
      <c r="O34" s="7" t="e">
        <f t="shared" si="3"/>
        <v>#DIV/0!</v>
      </c>
    </row>
    <row r="35" spans="1:15" ht="16.5" x14ac:dyDescent="0.45">
      <c r="A35" s="15" t="s">
        <v>30</v>
      </c>
      <c r="B35" s="17"/>
      <c r="C35" s="17">
        <v>0</v>
      </c>
      <c r="D35" s="11">
        <v>99</v>
      </c>
      <c r="E35" s="9">
        <v>13</v>
      </c>
      <c r="F35" s="10">
        <f t="shared" si="0"/>
        <v>13.131313131313133</v>
      </c>
      <c r="G35" s="11">
        <v>99</v>
      </c>
      <c r="H35" s="9">
        <v>12</v>
      </c>
      <c r="I35" s="12">
        <f t="shared" si="1"/>
        <v>12.121212121212121</v>
      </c>
      <c r="J35" s="9">
        <v>95</v>
      </c>
      <c r="K35" s="9">
        <v>4</v>
      </c>
      <c r="L35" s="10">
        <f t="shared" si="2"/>
        <v>4.2105263157894735</v>
      </c>
      <c r="M35" s="9"/>
      <c r="N35" s="9">
        <v>0</v>
      </c>
      <c r="O35" s="7" t="e">
        <f t="shared" si="3"/>
        <v>#DIV/0!</v>
      </c>
    </row>
    <row r="36" spans="1:15" ht="43.5" x14ac:dyDescent="0.45">
      <c r="A36" s="15" t="s">
        <v>31</v>
      </c>
      <c r="B36" s="17"/>
      <c r="C36" s="17">
        <v>1</v>
      </c>
      <c r="D36" s="11">
        <v>1467</v>
      </c>
      <c r="E36" s="9">
        <v>113</v>
      </c>
      <c r="F36" s="10">
        <f t="shared" si="0"/>
        <v>7.7027948193592364</v>
      </c>
      <c r="G36" s="11">
        <v>1467</v>
      </c>
      <c r="H36" s="9">
        <v>180</v>
      </c>
      <c r="I36" s="12">
        <f t="shared" si="1"/>
        <v>12.269938650306749</v>
      </c>
      <c r="J36" s="9">
        <v>1144</v>
      </c>
      <c r="K36" s="9">
        <v>84</v>
      </c>
      <c r="L36" s="10">
        <f t="shared" si="2"/>
        <v>7.3426573426573425</v>
      </c>
      <c r="M36" s="9"/>
      <c r="N36" s="9">
        <v>30</v>
      </c>
      <c r="O36" s="7" t="e">
        <f t="shared" si="3"/>
        <v>#DIV/0!</v>
      </c>
    </row>
    <row r="37" spans="1:15" ht="29" x14ac:dyDescent="0.45">
      <c r="A37" s="15" t="s">
        <v>32</v>
      </c>
      <c r="B37" s="17"/>
      <c r="C37" s="17">
        <v>0</v>
      </c>
      <c r="D37" s="11">
        <v>30</v>
      </c>
      <c r="E37" s="9">
        <v>19</v>
      </c>
      <c r="F37" s="10">
        <f t="shared" si="0"/>
        <v>63.333333333333329</v>
      </c>
      <c r="G37" s="11">
        <v>30</v>
      </c>
      <c r="H37" s="9">
        <v>24</v>
      </c>
      <c r="I37" s="12">
        <f t="shared" si="1"/>
        <v>80</v>
      </c>
      <c r="J37" s="9">
        <v>50</v>
      </c>
      <c r="K37" s="9">
        <v>36</v>
      </c>
      <c r="L37" s="10">
        <f t="shared" si="2"/>
        <v>72</v>
      </c>
      <c r="M37" s="9"/>
      <c r="N37" s="9">
        <v>0</v>
      </c>
      <c r="O37" s="7" t="e">
        <f t="shared" si="3"/>
        <v>#DIV/0!</v>
      </c>
    </row>
    <row r="38" spans="1:15" ht="16.5" x14ac:dyDescent="0.45">
      <c r="A38" s="15" t="s">
        <v>33</v>
      </c>
      <c r="B38" s="17"/>
      <c r="C38" s="17">
        <v>0</v>
      </c>
      <c r="D38" s="11">
        <v>112</v>
      </c>
      <c r="E38" s="9">
        <v>15</v>
      </c>
      <c r="F38" s="10">
        <f t="shared" si="0"/>
        <v>13.392857142857142</v>
      </c>
      <c r="G38" s="11">
        <v>112</v>
      </c>
      <c r="H38" s="9">
        <v>10</v>
      </c>
      <c r="I38" s="12">
        <f t="shared" si="1"/>
        <v>8.9285714285714288</v>
      </c>
      <c r="J38" s="9">
        <v>133</v>
      </c>
      <c r="K38" s="9">
        <v>24</v>
      </c>
      <c r="L38" s="10">
        <f t="shared" si="2"/>
        <v>18.045112781954884</v>
      </c>
      <c r="M38" s="9"/>
      <c r="N38" s="9">
        <v>0</v>
      </c>
      <c r="O38" s="7" t="e">
        <f t="shared" si="3"/>
        <v>#DIV/0!</v>
      </c>
    </row>
    <row r="39" spans="1:15" ht="29" x14ac:dyDescent="0.45">
      <c r="A39" s="16" t="s">
        <v>34</v>
      </c>
      <c r="B39" s="17"/>
      <c r="C39" s="17">
        <v>0</v>
      </c>
      <c r="D39" s="11">
        <v>61</v>
      </c>
      <c r="E39" s="9">
        <v>6</v>
      </c>
      <c r="F39" s="10">
        <f t="shared" si="0"/>
        <v>9.8360655737704921</v>
      </c>
      <c r="G39" s="11">
        <v>61</v>
      </c>
      <c r="H39" s="9">
        <v>6</v>
      </c>
      <c r="I39" s="12">
        <f t="shared" si="1"/>
        <v>9.8360655737704921</v>
      </c>
      <c r="J39" s="9">
        <v>105</v>
      </c>
      <c r="K39" s="9">
        <v>10</v>
      </c>
      <c r="L39" s="10">
        <f t="shared" si="2"/>
        <v>9.5238095238095237</v>
      </c>
      <c r="M39" s="9"/>
      <c r="N39" s="9">
        <v>36</v>
      </c>
      <c r="O39" s="7" t="e">
        <f t="shared" si="3"/>
        <v>#DIV/0!</v>
      </c>
    </row>
    <row r="40" spans="1:15" ht="16.5" x14ac:dyDescent="0.45">
      <c r="A40" s="16" t="s">
        <v>35</v>
      </c>
      <c r="B40" s="17"/>
      <c r="C40" s="17">
        <v>0</v>
      </c>
      <c r="D40" s="11">
        <v>117</v>
      </c>
      <c r="E40" s="9">
        <v>7</v>
      </c>
      <c r="F40" s="10">
        <f t="shared" si="0"/>
        <v>5.982905982905983</v>
      </c>
      <c r="G40" s="11">
        <v>117</v>
      </c>
      <c r="H40" s="9">
        <v>13</v>
      </c>
      <c r="I40" s="12">
        <f t="shared" si="1"/>
        <v>11.111111111111111</v>
      </c>
      <c r="J40" s="9">
        <v>64</v>
      </c>
      <c r="K40" s="9">
        <v>17</v>
      </c>
      <c r="L40" s="10">
        <f t="shared" si="2"/>
        <v>26.5625</v>
      </c>
      <c r="M40" s="9"/>
      <c r="N40" s="9">
        <v>30</v>
      </c>
      <c r="O40" s="7" t="e">
        <f t="shared" si="3"/>
        <v>#DIV/0!</v>
      </c>
    </row>
    <row r="41" spans="1:15" ht="16.5" x14ac:dyDescent="0.45">
      <c r="A41" s="16" t="s">
        <v>36</v>
      </c>
      <c r="B41" s="17"/>
      <c r="C41" s="17">
        <v>0</v>
      </c>
      <c r="D41" s="11">
        <v>62</v>
      </c>
      <c r="E41" s="9">
        <v>4</v>
      </c>
      <c r="F41" s="10">
        <f t="shared" si="0"/>
        <v>6.4516129032258061</v>
      </c>
      <c r="G41" s="11">
        <v>62</v>
      </c>
      <c r="H41" s="9">
        <v>9</v>
      </c>
      <c r="I41" s="12">
        <f t="shared" si="1"/>
        <v>14.516129032258066</v>
      </c>
      <c r="J41" s="9">
        <v>69</v>
      </c>
      <c r="K41" s="9">
        <v>8</v>
      </c>
      <c r="L41" s="10">
        <f t="shared" si="2"/>
        <v>11.594202898550725</v>
      </c>
      <c r="M41" s="9"/>
      <c r="N41" s="9">
        <v>8</v>
      </c>
      <c r="O41" s="7" t="e">
        <f t="shared" si="3"/>
        <v>#DIV/0!</v>
      </c>
    </row>
    <row r="42" spans="1:15" ht="16.5" x14ac:dyDescent="0.45">
      <c r="A42" s="16" t="s">
        <v>37</v>
      </c>
      <c r="B42" s="17"/>
      <c r="C42" s="17">
        <v>0</v>
      </c>
      <c r="D42" s="11">
        <v>62</v>
      </c>
      <c r="E42" s="9">
        <v>4</v>
      </c>
      <c r="F42" s="10">
        <f t="shared" si="0"/>
        <v>6.4516129032258061</v>
      </c>
      <c r="G42" s="11">
        <v>62</v>
      </c>
      <c r="H42" s="9">
        <v>4</v>
      </c>
      <c r="I42" s="12">
        <f t="shared" si="1"/>
        <v>6.4516129032258061</v>
      </c>
      <c r="J42" s="9">
        <v>75</v>
      </c>
      <c r="K42" s="9">
        <v>12</v>
      </c>
      <c r="L42" s="10">
        <f t="shared" si="2"/>
        <v>16</v>
      </c>
      <c r="M42" s="9"/>
      <c r="N42" s="9">
        <v>30</v>
      </c>
      <c r="O42" s="7" t="e">
        <f t="shared" si="3"/>
        <v>#DIV/0!</v>
      </c>
    </row>
    <row r="43" spans="1:15" ht="16.5" x14ac:dyDescent="0.45">
      <c r="A43" s="16" t="s">
        <v>38</v>
      </c>
      <c r="B43" s="17"/>
      <c r="C43" s="17">
        <v>0</v>
      </c>
      <c r="D43" s="11">
        <v>130</v>
      </c>
      <c r="E43" s="9">
        <v>10</v>
      </c>
      <c r="F43" s="10">
        <f t="shared" si="0"/>
        <v>7.6923076923076925</v>
      </c>
      <c r="G43" s="11">
        <v>130</v>
      </c>
      <c r="H43" s="9">
        <v>8</v>
      </c>
      <c r="I43" s="12">
        <f t="shared" si="1"/>
        <v>6.1538461538461542</v>
      </c>
      <c r="J43" s="9">
        <v>123</v>
      </c>
      <c r="K43" s="9">
        <v>14</v>
      </c>
      <c r="L43" s="10">
        <f t="shared" si="2"/>
        <v>11.38211382113821</v>
      </c>
      <c r="M43" s="9"/>
      <c r="N43" s="9">
        <v>20</v>
      </c>
      <c r="O43" s="7" t="e">
        <f t="shared" si="3"/>
        <v>#DIV/0!</v>
      </c>
    </row>
    <row r="44" spans="1:15" ht="16.5" x14ac:dyDescent="0.45">
      <c r="A44" s="16" t="s">
        <v>39</v>
      </c>
      <c r="B44" s="17"/>
      <c r="C44" s="17">
        <v>0</v>
      </c>
      <c r="D44" s="11">
        <v>259</v>
      </c>
      <c r="E44" s="9">
        <v>30</v>
      </c>
      <c r="F44" s="10">
        <f t="shared" si="0"/>
        <v>11.583011583011583</v>
      </c>
      <c r="G44" s="11">
        <v>259</v>
      </c>
      <c r="H44" s="9">
        <v>19</v>
      </c>
      <c r="I44" s="12">
        <f t="shared" si="1"/>
        <v>7.3359073359073363</v>
      </c>
      <c r="J44" s="9">
        <v>208</v>
      </c>
      <c r="K44" s="9">
        <v>22</v>
      </c>
      <c r="L44" s="10">
        <f t="shared" si="2"/>
        <v>10.576923076923077</v>
      </c>
      <c r="M44" s="9"/>
      <c r="N44" s="9">
        <v>34</v>
      </c>
      <c r="O44" s="7" t="e">
        <f t="shared" si="3"/>
        <v>#DIV/0!</v>
      </c>
    </row>
    <row r="45" spans="1:15" ht="29" x14ac:dyDescent="0.45">
      <c r="A45" s="16" t="s">
        <v>40</v>
      </c>
      <c r="B45" s="17"/>
      <c r="C45" s="17">
        <v>0</v>
      </c>
      <c r="D45" s="11">
        <v>36</v>
      </c>
      <c r="E45" s="9">
        <v>1</v>
      </c>
      <c r="F45" s="10">
        <f t="shared" si="0"/>
        <v>2.7777777777777777</v>
      </c>
      <c r="G45" s="11">
        <v>36</v>
      </c>
      <c r="H45" s="9">
        <v>1</v>
      </c>
      <c r="I45" s="12">
        <f t="shared" si="1"/>
        <v>2.7777777777777777</v>
      </c>
      <c r="J45" s="9">
        <v>36</v>
      </c>
      <c r="K45" s="9">
        <v>8</v>
      </c>
      <c r="L45" s="10">
        <f t="shared" si="2"/>
        <v>22.222222222222221</v>
      </c>
      <c r="M45" s="9"/>
      <c r="N45" s="9">
        <v>0</v>
      </c>
      <c r="O45" s="7" t="e">
        <f t="shared" si="3"/>
        <v>#DIV/0!</v>
      </c>
    </row>
    <row r="46" spans="1:15" ht="29" x14ac:dyDescent="0.45">
      <c r="A46" s="16" t="s">
        <v>41</v>
      </c>
      <c r="B46" s="17"/>
      <c r="C46" s="17">
        <v>4</v>
      </c>
      <c r="D46" s="11">
        <v>129</v>
      </c>
      <c r="E46" s="9">
        <v>9</v>
      </c>
      <c r="F46" s="10">
        <f t="shared" si="0"/>
        <v>6.9767441860465116</v>
      </c>
      <c r="G46" s="11">
        <v>129</v>
      </c>
      <c r="H46" s="9">
        <v>22</v>
      </c>
      <c r="I46" s="12">
        <f t="shared" si="1"/>
        <v>17.054263565891471</v>
      </c>
      <c r="J46" s="9">
        <v>153</v>
      </c>
      <c r="K46" s="9">
        <v>15</v>
      </c>
      <c r="L46" s="10">
        <f t="shared" si="2"/>
        <v>9.8039215686274517</v>
      </c>
      <c r="M46" s="9"/>
      <c r="N46" s="9">
        <v>113</v>
      </c>
      <c r="O46" s="7" t="e">
        <f t="shared" si="3"/>
        <v>#DIV/0!</v>
      </c>
    </row>
    <row r="47" spans="1:15" x14ac:dyDescent="0.35">
      <c r="A47" s="40" t="s">
        <v>50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spans="1:15" x14ac:dyDescent="0.35">
      <c r="A48" s="34" t="s">
        <v>51</v>
      </c>
      <c r="B48" s="34"/>
      <c r="C48" s="34"/>
      <c r="D48" s="34"/>
      <c r="E48" s="34"/>
    </row>
    <row r="49" spans="1:5" x14ac:dyDescent="0.35">
      <c r="A49" s="35" t="s">
        <v>52</v>
      </c>
      <c r="B49" s="35"/>
      <c r="C49" s="35"/>
      <c r="D49" s="35"/>
      <c r="E49" s="35"/>
    </row>
  </sheetData>
  <mergeCells count="8">
    <mergeCell ref="A49:E49"/>
    <mergeCell ref="A2:O2"/>
    <mergeCell ref="A3:O4"/>
    <mergeCell ref="A5:O5"/>
    <mergeCell ref="A6:L6"/>
    <mergeCell ref="M6:O6"/>
    <mergeCell ref="A47:L47"/>
    <mergeCell ref="A48:E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8"/>
  <sheetViews>
    <sheetView topLeftCell="A13" workbookViewId="0">
      <selection activeCell="M36" sqref="M36"/>
    </sheetView>
  </sheetViews>
  <sheetFormatPr baseColWidth="10" defaultRowHeight="14.5" x14ac:dyDescent="0.35"/>
  <sheetData>
    <row r="1" spans="1:15" ht="23.5" x14ac:dyDescent="0.55000000000000004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4.25" customHeight="1" x14ac:dyDescent="0.35">
      <c r="A2" s="37" t="s">
        <v>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4.2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8.75" customHeight="1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ht="15" customHeight="1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2" t="s">
        <v>49</v>
      </c>
      <c r="N5" s="42"/>
      <c r="O5" s="42"/>
    </row>
    <row r="6" spans="1:15" ht="43.5" x14ac:dyDescent="0.35">
      <c r="A6" s="5" t="s">
        <v>2</v>
      </c>
      <c r="B6" s="5" t="s">
        <v>42</v>
      </c>
      <c r="C6" s="6" t="s">
        <v>54</v>
      </c>
      <c r="D6" s="5" t="s">
        <v>42</v>
      </c>
      <c r="E6" s="6" t="s">
        <v>45</v>
      </c>
      <c r="F6" s="6" t="s">
        <v>44</v>
      </c>
      <c r="G6" s="5" t="s">
        <v>42</v>
      </c>
      <c r="H6" s="6" t="s">
        <v>46</v>
      </c>
      <c r="I6" s="6" t="s">
        <v>44</v>
      </c>
      <c r="J6" s="5" t="s">
        <v>42</v>
      </c>
      <c r="K6" s="6" t="s">
        <v>43</v>
      </c>
      <c r="L6" s="5" t="s">
        <v>44</v>
      </c>
      <c r="M6" s="5" t="s">
        <v>42</v>
      </c>
      <c r="N6" s="6" t="s">
        <v>48</v>
      </c>
      <c r="O6" s="5" t="s">
        <v>44</v>
      </c>
    </row>
    <row r="7" spans="1:15" ht="16.5" x14ac:dyDescent="0.45">
      <c r="A7" s="13" t="s">
        <v>3</v>
      </c>
      <c r="B7" s="17"/>
      <c r="C7" s="18">
        <v>329</v>
      </c>
      <c r="D7" s="11">
        <v>8431</v>
      </c>
      <c r="E7" s="7">
        <v>982</v>
      </c>
      <c r="F7" s="10">
        <f t="shared" ref="F7:F45" si="0">SUM(E7/D7*100)</f>
        <v>11.647491400782824</v>
      </c>
      <c r="G7" s="11">
        <v>8431</v>
      </c>
      <c r="H7" s="8">
        <v>803</v>
      </c>
      <c r="I7" s="12">
        <f>SUM(H7/G7*100)</f>
        <v>9.5243743328193577</v>
      </c>
      <c r="J7" s="8">
        <v>10719</v>
      </c>
      <c r="K7" s="8">
        <v>1110</v>
      </c>
      <c r="L7" s="10">
        <f>SUM(K7/J7*100)</f>
        <v>10.355443604813882</v>
      </c>
      <c r="M7" s="8"/>
      <c r="N7" s="8">
        <v>2301</v>
      </c>
      <c r="O7" s="7" t="e">
        <f>SUM(N7/M7*100)</f>
        <v>#DIV/0!</v>
      </c>
    </row>
    <row r="8" spans="1:15" ht="29" x14ac:dyDescent="0.45">
      <c r="A8" s="13" t="s">
        <v>4</v>
      </c>
      <c r="B8" s="17"/>
      <c r="C8" s="17">
        <v>21</v>
      </c>
      <c r="D8" s="11">
        <v>576</v>
      </c>
      <c r="E8" s="9">
        <v>58</v>
      </c>
      <c r="F8" s="10">
        <f t="shared" si="0"/>
        <v>10.069444444444445</v>
      </c>
      <c r="G8" s="11">
        <v>576</v>
      </c>
      <c r="H8" s="9">
        <v>52</v>
      </c>
      <c r="I8" s="12">
        <f t="shared" ref="I8:I45" si="1">SUM(H8/G8*100)</f>
        <v>9.0277777777777768</v>
      </c>
      <c r="J8" s="9">
        <v>657</v>
      </c>
      <c r="K8" s="9">
        <v>71</v>
      </c>
      <c r="L8" s="10">
        <f t="shared" ref="L8:L45" si="2">SUM(K8/J8*100)</f>
        <v>10.80669710806697</v>
      </c>
      <c r="M8" s="9"/>
      <c r="N8" s="9">
        <v>100</v>
      </c>
      <c r="O8" s="7" t="e">
        <f t="shared" ref="O8:O45" si="3">SUM(N8/M8*100)</f>
        <v>#DIV/0!</v>
      </c>
    </row>
    <row r="9" spans="1:15" ht="16.5" x14ac:dyDescent="0.45">
      <c r="A9" s="13" t="s">
        <v>5</v>
      </c>
      <c r="B9" s="17"/>
      <c r="C9" s="17">
        <v>52</v>
      </c>
      <c r="D9" s="11">
        <v>1425</v>
      </c>
      <c r="E9" s="9">
        <v>88</v>
      </c>
      <c r="F9" s="10">
        <f t="shared" si="0"/>
        <v>6.1754385964912286</v>
      </c>
      <c r="G9" s="11">
        <v>1425</v>
      </c>
      <c r="H9" s="9">
        <v>92</v>
      </c>
      <c r="I9" s="12">
        <f t="shared" si="1"/>
        <v>6.4561403508771935</v>
      </c>
      <c r="J9" s="9">
        <v>1082</v>
      </c>
      <c r="K9" s="9">
        <v>107</v>
      </c>
      <c r="L9" s="10">
        <f t="shared" si="2"/>
        <v>9.8890942698706095</v>
      </c>
      <c r="M9" s="9"/>
      <c r="N9" s="9">
        <v>26</v>
      </c>
      <c r="O9" s="7" t="e">
        <f t="shared" si="3"/>
        <v>#DIV/0!</v>
      </c>
    </row>
    <row r="10" spans="1:15" ht="29" x14ac:dyDescent="0.45">
      <c r="A10" s="13" t="s">
        <v>6</v>
      </c>
      <c r="B10" s="17"/>
      <c r="C10" s="17">
        <v>3</v>
      </c>
      <c r="D10" s="11">
        <v>488</v>
      </c>
      <c r="E10" s="9">
        <v>21</v>
      </c>
      <c r="F10" s="10">
        <f t="shared" si="0"/>
        <v>4.3032786885245899</v>
      </c>
      <c r="G10" s="11">
        <v>488</v>
      </c>
      <c r="H10" s="9">
        <v>28</v>
      </c>
      <c r="I10" s="12">
        <f t="shared" si="1"/>
        <v>5.7377049180327866</v>
      </c>
      <c r="J10" s="9">
        <v>514</v>
      </c>
      <c r="K10" s="9">
        <v>45</v>
      </c>
      <c r="L10" s="10">
        <f t="shared" si="2"/>
        <v>8.7548638132295711</v>
      </c>
      <c r="M10" s="9"/>
      <c r="N10" s="9">
        <v>40</v>
      </c>
      <c r="O10" s="7" t="e">
        <f t="shared" si="3"/>
        <v>#DIV/0!</v>
      </c>
    </row>
    <row r="11" spans="1:15" ht="29" x14ac:dyDescent="0.45">
      <c r="A11" s="13" t="s">
        <v>7</v>
      </c>
      <c r="B11" s="17"/>
      <c r="C11" s="17">
        <v>21</v>
      </c>
      <c r="D11" s="11">
        <v>224</v>
      </c>
      <c r="E11" s="9">
        <v>9</v>
      </c>
      <c r="F11" s="10">
        <f t="shared" si="0"/>
        <v>4.0178571428571432</v>
      </c>
      <c r="G11" s="11">
        <v>224</v>
      </c>
      <c r="H11" s="9">
        <v>28</v>
      </c>
      <c r="I11" s="12">
        <f t="shared" si="1"/>
        <v>12.5</v>
      </c>
      <c r="J11" s="9">
        <v>243</v>
      </c>
      <c r="K11" s="9">
        <v>57</v>
      </c>
      <c r="L11" s="10">
        <f t="shared" si="2"/>
        <v>23.456790123456788</v>
      </c>
      <c r="M11" s="9"/>
      <c r="N11" s="9">
        <v>38</v>
      </c>
      <c r="O11" s="7" t="e">
        <f t="shared" si="3"/>
        <v>#DIV/0!</v>
      </c>
    </row>
    <row r="12" spans="1:15" ht="16.5" x14ac:dyDescent="0.45">
      <c r="A12" s="13" t="s">
        <v>8</v>
      </c>
      <c r="B12" s="17"/>
      <c r="C12" s="17">
        <v>9</v>
      </c>
      <c r="D12" s="11">
        <v>135</v>
      </c>
      <c r="E12" s="9">
        <v>15</v>
      </c>
      <c r="F12" s="10">
        <f t="shared" si="0"/>
        <v>11.111111111111111</v>
      </c>
      <c r="G12" s="11">
        <v>135</v>
      </c>
      <c r="H12" s="9">
        <v>19</v>
      </c>
      <c r="I12" s="12">
        <f t="shared" si="1"/>
        <v>14.074074074074074</v>
      </c>
      <c r="J12" s="9">
        <v>190</v>
      </c>
      <c r="K12" s="9">
        <v>23</v>
      </c>
      <c r="L12" s="10">
        <f t="shared" si="2"/>
        <v>12.105263157894736</v>
      </c>
      <c r="M12" s="9"/>
      <c r="N12" s="9">
        <v>70</v>
      </c>
      <c r="O12" s="7" t="e">
        <f t="shared" si="3"/>
        <v>#DIV/0!</v>
      </c>
    </row>
    <row r="13" spans="1:15" ht="29" x14ac:dyDescent="0.45">
      <c r="A13" s="13" t="s">
        <v>9</v>
      </c>
      <c r="B13" s="17"/>
      <c r="C13" s="17">
        <v>57</v>
      </c>
      <c r="D13" s="11">
        <v>1283</v>
      </c>
      <c r="E13" s="9">
        <v>80</v>
      </c>
      <c r="F13" s="10">
        <f t="shared" si="0"/>
        <v>6.2353858144972722</v>
      </c>
      <c r="G13" s="11">
        <v>1283</v>
      </c>
      <c r="H13" s="9">
        <v>87</v>
      </c>
      <c r="I13" s="12">
        <f t="shared" si="1"/>
        <v>6.7809820732657826</v>
      </c>
      <c r="J13" s="9">
        <v>1399</v>
      </c>
      <c r="K13" s="9">
        <v>105</v>
      </c>
      <c r="L13" s="10">
        <f t="shared" si="2"/>
        <v>7.5053609721229444</v>
      </c>
      <c r="M13" s="9"/>
      <c r="N13" s="9">
        <v>22</v>
      </c>
      <c r="O13" s="7" t="e">
        <f t="shared" si="3"/>
        <v>#DIV/0!</v>
      </c>
    </row>
    <row r="14" spans="1:15" ht="16.5" x14ac:dyDescent="0.45">
      <c r="A14" s="13" t="s">
        <v>10</v>
      </c>
      <c r="B14" s="17"/>
      <c r="C14" s="17">
        <v>6</v>
      </c>
      <c r="D14" s="11">
        <v>581</v>
      </c>
      <c r="E14" s="9">
        <v>29</v>
      </c>
      <c r="F14" s="10">
        <f t="shared" si="0"/>
        <v>4.9913941480206541</v>
      </c>
      <c r="G14" s="11">
        <v>581</v>
      </c>
      <c r="H14" s="9">
        <v>47</v>
      </c>
      <c r="I14" s="12">
        <f t="shared" si="1"/>
        <v>8.0895008605851988</v>
      </c>
      <c r="J14" s="9">
        <v>608</v>
      </c>
      <c r="K14" s="9">
        <v>35</v>
      </c>
      <c r="L14" s="10">
        <f t="shared" si="2"/>
        <v>5.7565789473684212</v>
      </c>
      <c r="M14" s="9"/>
      <c r="N14" s="9">
        <v>0</v>
      </c>
      <c r="O14" s="7" t="e">
        <f t="shared" si="3"/>
        <v>#DIV/0!</v>
      </c>
    </row>
    <row r="15" spans="1:15" ht="16.5" x14ac:dyDescent="0.45">
      <c r="A15" s="13" t="s">
        <v>11</v>
      </c>
      <c r="B15" s="17"/>
      <c r="C15" s="17">
        <v>19</v>
      </c>
      <c r="D15" s="11">
        <v>166</v>
      </c>
      <c r="E15" s="9">
        <v>6</v>
      </c>
      <c r="F15" s="10">
        <f t="shared" si="0"/>
        <v>3.6144578313253009</v>
      </c>
      <c r="G15" s="11">
        <v>166</v>
      </c>
      <c r="H15" s="9">
        <v>25</v>
      </c>
      <c r="I15" s="12">
        <f t="shared" si="1"/>
        <v>15.060240963855422</v>
      </c>
      <c r="J15" s="9">
        <v>177</v>
      </c>
      <c r="K15" s="9">
        <v>26</v>
      </c>
      <c r="L15" s="10">
        <f t="shared" si="2"/>
        <v>14.689265536723164</v>
      </c>
      <c r="M15" s="9"/>
      <c r="N15" s="9">
        <v>20</v>
      </c>
      <c r="O15" s="7" t="e">
        <f t="shared" si="3"/>
        <v>#DIV/0!</v>
      </c>
    </row>
    <row r="16" spans="1:15" ht="16.5" x14ac:dyDescent="0.45">
      <c r="A16" s="13" t="s">
        <v>12</v>
      </c>
      <c r="B16" s="17"/>
      <c r="C16" s="17">
        <v>27</v>
      </c>
      <c r="D16" s="11">
        <v>952</v>
      </c>
      <c r="E16" s="9">
        <v>48</v>
      </c>
      <c r="F16" s="10">
        <f t="shared" si="0"/>
        <v>5.0420168067226889</v>
      </c>
      <c r="G16" s="11">
        <v>952</v>
      </c>
      <c r="H16" s="9">
        <v>46</v>
      </c>
      <c r="I16" s="12">
        <f t="shared" si="1"/>
        <v>4.8319327731092443</v>
      </c>
      <c r="J16" s="9">
        <v>851</v>
      </c>
      <c r="K16" s="9">
        <v>104</v>
      </c>
      <c r="L16" s="10">
        <f t="shared" si="2"/>
        <v>12.220916568742656</v>
      </c>
      <c r="M16" s="9"/>
      <c r="N16" s="9">
        <v>1</v>
      </c>
      <c r="O16" s="7" t="e">
        <f t="shared" si="3"/>
        <v>#DIV/0!</v>
      </c>
    </row>
    <row r="17" spans="1:15" ht="29" x14ac:dyDescent="0.45">
      <c r="A17" s="13" t="s">
        <v>13</v>
      </c>
      <c r="B17" s="17"/>
      <c r="C17" s="17">
        <v>8</v>
      </c>
      <c r="D17" s="11">
        <v>403</v>
      </c>
      <c r="E17" s="9">
        <v>74</v>
      </c>
      <c r="F17" s="10">
        <f t="shared" si="0"/>
        <v>18.362282878411911</v>
      </c>
      <c r="G17" s="11">
        <v>403</v>
      </c>
      <c r="H17" s="9">
        <v>52</v>
      </c>
      <c r="I17" s="12">
        <f t="shared" si="1"/>
        <v>12.903225806451612</v>
      </c>
      <c r="J17" s="9">
        <v>254</v>
      </c>
      <c r="K17" s="9">
        <v>61</v>
      </c>
      <c r="L17" s="10">
        <f t="shared" si="2"/>
        <v>24.015748031496063</v>
      </c>
      <c r="M17" s="9"/>
      <c r="N17" s="9">
        <v>28</v>
      </c>
      <c r="O17" s="7" t="e">
        <f t="shared" si="3"/>
        <v>#DIV/0!</v>
      </c>
    </row>
    <row r="18" spans="1:15" ht="16.5" x14ac:dyDescent="0.45">
      <c r="A18" s="14" t="s">
        <v>14</v>
      </c>
      <c r="B18" s="17"/>
      <c r="C18" s="17">
        <v>1</v>
      </c>
      <c r="D18" s="11">
        <v>643</v>
      </c>
      <c r="E18" s="9">
        <v>68</v>
      </c>
      <c r="F18" s="10">
        <f t="shared" si="0"/>
        <v>10.575427682737169</v>
      </c>
      <c r="G18" s="11">
        <v>643</v>
      </c>
      <c r="H18" s="9">
        <v>38</v>
      </c>
      <c r="I18" s="12">
        <f t="shared" si="1"/>
        <v>5.9097978227060652</v>
      </c>
      <c r="J18" s="9">
        <v>843</v>
      </c>
      <c r="K18" s="9">
        <v>54</v>
      </c>
      <c r="L18" s="10">
        <f t="shared" si="2"/>
        <v>6.4056939501779357</v>
      </c>
      <c r="M18" s="9"/>
      <c r="N18" s="9">
        <v>28</v>
      </c>
      <c r="O18" s="7" t="e">
        <f t="shared" si="3"/>
        <v>#DIV/0!</v>
      </c>
    </row>
    <row r="19" spans="1:15" ht="43.5" x14ac:dyDescent="0.45">
      <c r="A19" s="14" t="s">
        <v>15</v>
      </c>
      <c r="B19" s="17"/>
      <c r="C19" s="17">
        <v>0</v>
      </c>
      <c r="D19" s="11">
        <v>236</v>
      </c>
      <c r="E19" s="9">
        <v>15</v>
      </c>
      <c r="F19" s="10">
        <f t="shared" si="0"/>
        <v>6.3559322033898304</v>
      </c>
      <c r="G19" s="11">
        <v>236</v>
      </c>
      <c r="H19" s="9">
        <v>18</v>
      </c>
      <c r="I19" s="12">
        <f t="shared" si="1"/>
        <v>7.6271186440677967</v>
      </c>
      <c r="J19" s="9">
        <v>231</v>
      </c>
      <c r="K19" s="9">
        <v>18</v>
      </c>
      <c r="L19" s="10">
        <f t="shared" si="2"/>
        <v>7.7922077922077921</v>
      </c>
      <c r="M19" s="9"/>
      <c r="N19" s="9">
        <v>15</v>
      </c>
      <c r="O19" s="7" t="e">
        <f t="shared" si="3"/>
        <v>#DIV/0!</v>
      </c>
    </row>
    <row r="20" spans="1:15" ht="29" x14ac:dyDescent="0.45">
      <c r="A20" s="14" t="s">
        <v>16</v>
      </c>
      <c r="B20" s="17"/>
      <c r="C20" s="17">
        <v>1</v>
      </c>
      <c r="D20" s="11">
        <v>5736</v>
      </c>
      <c r="E20" s="9">
        <v>677</v>
      </c>
      <c r="F20" s="10">
        <f t="shared" si="0"/>
        <v>11.802649930264993</v>
      </c>
      <c r="G20" s="11">
        <v>5736</v>
      </c>
      <c r="H20" s="9">
        <v>480</v>
      </c>
      <c r="I20" s="12">
        <f t="shared" si="1"/>
        <v>8.3682008368200833</v>
      </c>
      <c r="J20" s="9">
        <v>6878</v>
      </c>
      <c r="K20" s="9">
        <v>557</v>
      </c>
      <c r="L20" s="10">
        <f t="shared" si="2"/>
        <v>8.0982843849956385</v>
      </c>
      <c r="M20" s="9"/>
      <c r="N20" s="9">
        <v>234</v>
      </c>
      <c r="O20" s="7" t="e">
        <f t="shared" si="3"/>
        <v>#DIV/0!</v>
      </c>
    </row>
    <row r="21" spans="1:15" ht="16.5" x14ac:dyDescent="0.45">
      <c r="A21" s="14" t="s">
        <v>17</v>
      </c>
      <c r="B21" s="17"/>
      <c r="C21" s="17">
        <v>0</v>
      </c>
      <c r="D21" s="11">
        <v>2230</v>
      </c>
      <c r="E21" s="9">
        <v>318</v>
      </c>
      <c r="F21" s="10">
        <f t="shared" si="0"/>
        <v>14.260089686098654</v>
      </c>
      <c r="G21" s="11">
        <v>2230</v>
      </c>
      <c r="H21" s="9">
        <v>314</v>
      </c>
      <c r="I21" s="12">
        <f t="shared" si="1"/>
        <v>14.080717488789238</v>
      </c>
      <c r="J21" s="9">
        <v>2609</v>
      </c>
      <c r="K21" s="9">
        <v>404</v>
      </c>
      <c r="L21" s="10">
        <f t="shared" si="2"/>
        <v>15.484860099655041</v>
      </c>
      <c r="M21" s="9"/>
      <c r="N21" s="9">
        <v>674</v>
      </c>
      <c r="O21" s="7" t="e">
        <f t="shared" si="3"/>
        <v>#DIV/0!</v>
      </c>
    </row>
    <row r="22" spans="1:15" ht="16.5" x14ac:dyDescent="0.45">
      <c r="A22" s="14" t="s">
        <v>18</v>
      </c>
      <c r="B22" s="17"/>
      <c r="C22" s="17">
        <v>0</v>
      </c>
      <c r="D22" s="11">
        <v>543</v>
      </c>
      <c r="E22" s="9">
        <v>94</v>
      </c>
      <c r="F22" s="10">
        <f t="shared" si="0"/>
        <v>17.311233885819522</v>
      </c>
      <c r="G22" s="11">
        <v>543</v>
      </c>
      <c r="H22" s="9">
        <v>86</v>
      </c>
      <c r="I22" s="12">
        <f t="shared" si="1"/>
        <v>15.837937384898712</v>
      </c>
      <c r="J22" s="9">
        <v>634</v>
      </c>
      <c r="K22" s="9">
        <v>103</v>
      </c>
      <c r="L22" s="10">
        <f t="shared" si="2"/>
        <v>16.246056782334385</v>
      </c>
      <c r="M22" s="9"/>
      <c r="N22" s="9">
        <v>10</v>
      </c>
      <c r="O22" s="7" t="e">
        <f t="shared" si="3"/>
        <v>#DIV/0!</v>
      </c>
    </row>
    <row r="23" spans="1:15" ht="16.5" x14ac:dyDescent="0.45">
      <c r="A23" s="14" t="s">
        <v>19</v>
      </c>
      <c r="B23" s="17"/>
      <c r="C23" s="17">
        <v>0</v>
      </c>
      <c r="D23" s="11">
        <v>284</v>
      </c>
      <c r="E23" s="9">
        <v>33</v>
      </c>
      <c r="F23" s="10">
        <f t="shared" si="0"/>
        <v>11.619718309859154</v>
      </c>
      <c r="G23" s="11">
        <v>284</v>
      </c>
      <c r="H23" s="9">
        <v>34</v>
      </c>
      <c r="I23" s="12">
        <f t="shared" si="1"/>
        <v>11.971830985915492</v>
      </c>
      <c r="J23" s="9">
        <v>376</v>
      </c>
      <c r="K23" s="9">
        <v>46</v>
      </c>
      <c r="L23" s="10">
        <f t="shared" si="2"/>
        <v>12.23404255319149</v>
      </c>
      <c r="M23" s="9"/>
      <c r="N23" s="9">
        <v>0</v>
      </c>
      <c r="O23" s="7" t="e">
        <f t="shared" si="3"/>
        <v>#DIV/0!</v>
      </c>
    </row>
    <row r="24" spans="1:15" ht="29" x14ac:dyDescent="0.45">
      <c r="A24" s="14" t="s">
        <v>20</v>
      </c>
      <c r="B24" s="17"/>
      <c r="C24" s="17">
        <v>0</v>
      </c>
      <c r="D24" s="11">
        <v>220</v>
      </c>
      <c r="E24" s="9">
        <v>27</v>
      </c>
      <c r="F24" s="10">
        <f t="shared" si="0"/>
        <v>12.272727272727273</v>
      </c>
      <c r="G24" s="11">
        <v>220</v>
      </c>
      <c r="H24" s="9">
        <v>41</v>
      </c>
      <c r="I24" s="12">
        <f t="shared" si="1"/>
        <v>18.636363636363637</v>
      </c>
      <c r="J24" s="9">
        <v>212</v>
      </c>
      <c r="K24" s="9">
        <v>108</v>
      </c>
      <c r="L24" s="10">
        <f t="shared" si="2"/>
        <v>50.943396226415096</v>
      </c>
      <c r="M24" s="9"/>
      <c r="N24" s="9">
        <v>0</v>
      </c>
      <c r="O24" s="7" t="e">
        <f t="shared" si="3"/>
        <v>#DIV/0!</v>
      </c>
    </row>
    <row r="25" spans="1:15" ht="29" x14ac:dyDescent="0.45">
      <c r="A25" s="14" t="s">
        <v>21</v>
      </c>
      <c r="B25" s="17"/>
      <c r="C25" s="17">
        <v>0</v>
      </c>
      <c r="D25" s="11">
        <v>228</v>
      </c>
      <c r="E25" s="9">
        <v>15</v>
      </c>
      <c r="F25" s="10">
        <f t="shared" si="0"/>
        <v>6.5789473684210522</v>
      </c>
      <c r="G25" s="11">
        <v>228</v>
      </c>
      <c r="H25" s="9">
        <v>14</v>
      </c>
      <c r="I25" s="12">
        <f t="shared" si="1"/>
        <v>6.140350877192982</v>
      </c>
      <c r="J25" s="9">
        <v>219</v>
      </c>
      <c r="K25" s="9">
        <v>23</v>
      </c>
      <c r="L25" s="10">
        <f t="shared" si="2"/>
        <v>10.50228310502283</v>
      </c>
      <c r="M25" s="9"/>
      <c r="N25" s="9">
        <v>15</v>
      </c>
      <c r="O25" s="7" t="e">
        <f t="shared" si="3"/>
        <v>#DIV/0!</v>
      </c>
    </row>
    <row r="26" spans="1:15" ht="29" x14ac:dyDescent="0.45">
      <c r="A26" s="14" t="s">
        <v>22</v>
      </c>
      <c r="B26" s="17"/>
      <c r="C26" s="17">
        <v>0</v>
      </c>
      <c r="D26" s="11">
        <v>33</v>
      </c>
      <c r="E26" s="9">
        <v>13</v>
      </c>
      <c r="F26" s="10">
        <f t="shared" si="0"/>
        <v>39.393939393939391</v>
      </c>
      <c r="G26" s="11">
        <v>33</v>
      </c>
      <c r="H26" s="9">
        <v>2</v>
      </c>
      <c r="I26" s="12">
        <f t="shared" si="1"/>
        <v>6.0606060606060606</v>
      </c>
      <c r="J26" s="9">
        <v>38</v>
      </c>
      <c r="K26" s="9">
        <v>0</v>
      </c>
      <c r="L26" s="10">
        <f t="shared" si="2"/>
        <v>0</v>
      </c>
      <c r="M26" s="9"/>
      <c r="N26" s="9">
        <v>0</v>
      </c>
      <c r="O26" s="7" t="e">
        <f t="shared" si="3"/>
        <v>#DIV/0!</v>
      </c>
    </row>
    <row r="27" spans="1:15" ht="29" x14ac:dyDescent="0.45">
      <c r="A27" s="14" t="s">
        <v>23</v>
      </c>
      <c r="B27" s="17"/>
      <c r="C27" s="17">
        <v>0</v>
      </c>
      <c r="D27" s="11">
        <v>38</v>
      </c>
      <c r="E27" s="9">
        <v>4</v>
      </c>
      <c r="F27" s="10">
        <f t="shared" si="0"/>
        <v>10.526315789473683</v>
      </c>
      <c r="G27" s="11">
        <v>38</v>
      </c>
      <c r="H27" s="9">
        <v>1</v>
      </c>
      <c r="I27" s="12">
        <f t="shared" si="1"/>
        <v>2.6315789473684208</v>
      </c>
      <c r="J27" s="9">
        <v>41</v>
      </c>
      <c r="K27" s="9">
        <v>1</v>
      </c>
      <c r="L27" s="10">
        <f t="shared" si="2"/>
        <v>2.4390243902439024</v>
      </c>
      <c r="M27" s="9"/>
      <c r="N27" s="9">
        <v>0</v>
      </c>
      <c r="O27" s="7" t="e">
        <f t="shared" si="3"/>
        <v>#DIV/0!</v>
      </c>
    </row>
    <row r="28" spans="1:15" ht="16.5" x14ac:dyDescent="0.45">
      <c r="A28" s="14" t="s">
        <v>24</v>
      </c>
      <c r="B28" s="17"/>
      <c r="C28" s="17">
        <v>0</v>
      </c>
      <c r="D28" s="11">
        <v>130</v>
      </c>
      <c r="E28" s="9">
        <v>9</v>
      </c>
      <c r="F28" s="10">
        <f t="shared" si="0"/>
        <v>6.9230769230769234</v>
      </c>
      <c r="G28" s="11">
        <v>130</v>
      </c>
      <c r="H28" s="9">
        <v>24</v>
      </c>
      <c r="I28" s="12">
        <f t="shared" si="1"/>
        <v>18.461538461538463</v>
      </c>
      <c r="J28" s="9">
        <v>140</v>
      </c>
      <c r="K28" s="9">
        <v>26</v>
      </c>
      <c r="L28" s="10">
        <f t="shared" si="2"/>
        <v>18.571428571428573</v>
      </c>
      <c r="M28" s="9"/>
      <c r="N28" s="9">
        <v>0</v>
      </c>
      <c r="O28" s="7" t="e">
        <f t="shared" si="3"/>
        <v>#DIV/0!</v>
      </c>
    </row>
    <row r="29" spans="1:15" ht="16.5" x14ac:dyDescent="0.45">
      <c r="A29" s="14" t="s">
        <v>25</v>
      </c>
      <c r="B29" s="17"/>
      <c r="C29" s="17">
        <v>0</v>
      </c>
      <c r="D29" s="11">
        <v>278</v>
      </c>
      <c r="E29" s="9">
        <v>57</v>
      </c>
      <c r="F29" s="10">
        <f t="shared" si="0"/>
        <v>20.503597122302157</v>
      </c>
      <c r="G29" s="11">
        <v>278</v>
      </c>
      <c r="H29" s="9">
        <v>63</v>
      </c>
      <c r="I29" s="12">
        <f t="shared" si="1"/>
        <v>22.661870503597122</v>
      </c>
      <c r="J29" s="9">
        <v>348</v>
      </c>
      <c r="K29" s="9">
        <v>117</v>
      </c>
      <c r="L29" s="10">
        <f t="shared" si="2"/>
        <v>33.620689655172413</v>
      </c>
      <c r="M29" s="9"/>
      <c r="N29" s="9">
        <v>0</v>
      </c>
      <c r="O29" s="7" t="e">
        <f t="shared" si="3"/>
        <v>#DIV/0!</v>
      </c>
    </row>
    <row r="30" spans="1:15" ht="16.5" x14ac:dyDescent="0.45">
      <c r="A30" s="15" t="s">
        <v>26</v>
      </c>
      <c r="B30" s="17"/>
      <c r="C30" s="17">
        <v>0</v>
      </c>
      <c r="D30" s="11">
        <v>499</v>
      </c>
      <c r="E30" s="9">
        <v>33</v>
      </c>
      <c r="F30" s="10">
        <f t="shared" si="0"/>
        <v>6.6132264529058116</v>
      </c>
      <c r="G30" s="11">
        <v>499</v>
      </c>
      <c r="H30" s="9">
        <v>27</v>
      </c>
      <c r="I30" s="12">
        <f t="shared" si="1"/>
        <v>5.4108216432865728</v>
      </c>
      <c r="J30" s="9">
        <v>560</v>
      </c>
      <c r="K30" s="9">
        <v>30</v>
      </c>
      <c r="L30" s="10">
        <f t="shared" si="2"/>
        <v>5.3571428571428568</v>
      </c>
      <c r="M30" s="9"/>
      <c r="N30" s="9">
        <v>0</v>
      </c>
      <c r="O30" s="7" t="e">
        <f t="shared" si="3"/>
        <v>#DIV/0!</v>
      </c>
    </row>
    <row r="31" spans="1:15" ht="16.5" x14ac:dyDescent="0.45">
      <c r="A31" s="15" t="s">
        <v>27</v>
      </c>
      <c r="B31" s="17"/>
      <c r="C31" s="17">
        <v>0</v>
      </c>
      <c r="D31" s="11">
        <v>54</v>
      </c>
      <c r="E31" s="9">
        <v>4</v>
      </c>
      <c r="F31" s="10">
        <f t="shared" si="0"/>
        <v>7.4074074074074066</v>
      </c>
      <c r="G31" s="11">
        <v>54</v>
      </c>
      <c r="H31" s="9">
        <v>17</v>
      </c>
      <c r="I31" s="12">
        <f t="shared" si="1"/>
        <v>31.481481481481481</v>
      </c>
      <c r="J31" s="9">
        <v>51</v>
      </c>
      <c r="K31" s="9">
        <v>15</v>
      </c>
      <c r="L31" s="10">
        <f t="shared" si="2"/>
        <v>29.411764705882355</v>
      </c>
      <c r="M31" s="9"/>
      <c r="N31" s="9">
        <v>0</v>
      </c>
      <c r="O31" s="7" t="e">
        <f t="shared" si="3"/>
        <v>#DIV/0!</v>
      </c>
    </row>
    <row r="32" spans="1:15" ht="16.5" x14ac:dyDescent="0.45">
      <c r="A32" s="15" t="s">
        <v>28</v>
      </c>
      <c r="B32" s="17"/>
      <c r="C32" s="17">
        <v>0</v>
      </c>
      <c r="D32" s="11">
        <v>137</v>
      </c>
      <c r="E32" s="9">
        <v>12</v>
      </c>
      <c r="F32" s="10">
        <f t="shared" si="0"/>
        <v>8.7591240875912408</v>
      </c>
      <c r="G32" s="11">
        <v>137</v>
      </c>
      <c r="H32" s="9">
        <v>16</v>
      </c>
      <c r="I32" s="12">
        <f t="shared" si="1"/>
        <v>11.678832116788321</v>
      </c>
      <c r="J32" s="9">
        <v>184</v>
      </c>
      <c r="K32" s="9">
        <v>10</v>
      </c>
      <c r="L32" s="10">
        <f t="shared" si="2"/>
        <v>5.4347826086956523</v>
      </c>
      <c r="M32" s="9"/>
      <c r="N32" s="9">
        <v>0</v>
      </c>
      <c r="O32" s="7" t="e">
        <f t="shared" si="3"/>
        <v>#DIV/0!</v>
      </c>
    </row>
    <row r="33" spans="1:15" ht="16.5" x14ac:dyDescent="0.45">
      <c r="A33" s="15" t="s">
        <v>29</v>
      </c>
      <c r="B33" s="17"/>
      <c r="C33" s="17">
        <v>0</v>
      </c>
      <c r="D33" s="11">
        <v>443</v>
      </c>
      <c r="E33" s="9">
        <v>153</v>
      </c>
      <c r="F33" s="10">
        <f t="shared" si="0"/>
        <v>34.537246049661405</v>
      </c>
      <c r="G33" s="11">
        <v>443</v>
      </c>
      <c r="H33" s="9">
        <v>173</v>
      </c>
      <c r="I33" s="12">
        <f t="shared" si="1"/>
        <v>39.051918735891647</v>
      </c>
      <c r="J33" s="9">
        <v>425</v>
      </c>
      <c r="K33" s="9">
        <v>121</v>
      </c>
      <c r="L33" s="10">
        <f t="shared" si="2"/>
        <v>28.47058823529412</v>
      </c>
      <c r="M33" s="9"/>
      <c r="N33" s="9">
        <v>240</v>
      </c>
      <c r="O33" s="7" t="e">
        <f t="shared" si="3"/>
        <v>#DIV/0!</v>
      </c>
    </row>
    <row r="34" spans="1:15" ht="16.5" x14ac:dyDescent="0.45">
      <c r="A34" s="15" t="s">
        <v>30</v>
      </c>
      <c r="B34" s="17"/>
      <c r="C34" s="17">
        <v>0</v>
      </c>
      <c r="D34" s="11">
        <v>99</v>
      </c>
      <c r="E34" s="9">
        <v>13</v>
      </c>
      <c r="F34" s="10">
        <f t="shared" si="0"/>
        <v>13.131313131313133</v>
      </c>
      <c r="G34" s="11">
        <v>99</v>
      </c>
      <c r="H34" s="9">
        <v>12</v>
      </c>
      <c r="I34" s="12">
        <f t="shared" si="1"/>
        <v>12.121212121212121</v>
      </c>
      <c r="J34" s="9">
        <v>95</v>
      </c>
      <c r="K34" s="9">
        <v>4</v>
      </c>
      <c r="L34" s="10">
        <f t="shared" si="2"/>
        <v>4.2105263157894735</v>
      </c>
      <c r="M34" s="9"/>
      <c r="N34" s="9">
        <v>1</v>
      </c>
      <c r="O34" s="7" t="e">
        <f t="shared" si="3"/>
        <v>#DIV/0!</v>
      </c>
    </row>
    <row r="35" spans="1:15" ht="43.5" x14ac:dyDescent="0.45">
      <c r="A35" s="15" t="s">
        <v>31</v>
      </c>
      <c r="B35" s="17"/>
      <c r="C35" s="17">
        <v>1</v>
      </c>
      <c r="D35" s="11">
        <v>1467</v>
      </c>
      <c r="E35" s="9">
        <v>113</v>
      </c>
      <c r="F35" s="10">
        <f t="shared" si="0"/>
        <v>7.7027948193592364</v>
      </c>
      <c r="G35" s="11">
        <v>1467</v>
      </c>
      <c r="H35" s="9">
        <v>185</v>
      </c>
      <c r="I35" s="12">
        <f t="shared" si="1"/>
        <v>12.610770279481937</v>
      </c>
      <c r="J35" s="9">
        <v>1144</v>
      </c>
      <c r="K35" s="9">
        <v>84</v>
      </c>
      <c r="L35" s="10">
        <f t="shared" si="2"/>
        <v>7.3426573426573425</v>
      </c>
      <c r="M35" s="9"/>
      <c r="N35" s="9">
        <v>30</v>
      </c>
      <c r="O35" s="7" t="e">
        <f t="shared" si="3"/>
        <v>#DIV/0!</v>
      </c>
    </row>
    <row r="36" spans="1:15" ht="29" x14ac:dyDescent="0.45">
      <c r="A36" s="15" t="s">
        <v>32</v>
      </c>
      <c r="B36" s="17"/>
      <c r="C36" s="17">
        <v>0</v>
      </c>
      <c r="D36" s="11">
        <v>30</v>
      </c>
      <c r="E36" s="9">
        <v>19</v>
      </c>
      <c r="F36" s="10">
        <f t="shared" si="0"/>
        <v>63.333333333333329</v>
      </c>
      <c r="G36" s="11">
        <v>30</v>
      </c>
      <c r="H36" s="9">
        <v>24</v>
      </c>
      <c r="I36" s="12">
        <f t="shared" si="1"/>
        <v>80</v>
      </c>
      <c r="J36" s="9">
        <v>50</v>
      </c>
      <c r="K36" s="9">
        <v>36</v>
      </c>
      <c r="L36" s="10">
        <f t="shared" si="2"/>
        <v>72</v>
      </c>
      <c r="M36" s="9"/>
      <c r="N36" s="9">
        <v>0</v>
      </c>
      <c r="O36" s="7" t="e">
        <f t="shared" si="3"/>
        <v>#DIV/0!</v>
      </c>
    </row>
    <row r="37" spans="1:15" ht="16.5" x14ac:dyDescent="0.45">
      <c r="A37" s="15" t="s">
        <v>33</v>
      </c>
      <c r="B37" s="17"/>
      <c r="C37" s="17">
        <v>0</v>
      </c>
      <c r="D37" s="11">
        <v>112</v>
      </c>
      <c r="E37" s="9">
        <v>15</v>
      </c>
      <c r="F37" s="10">
        <f t="shared" si="0"/>
        <v>13.392857142857142</v>
      </c>
      <c r="G37" s="11">
        <v>112</v>
      </c>
      <c r="H37" s="9">
        <v>11</v>
      </c>
      <c r="I37" s="12">
        <f t="shared" si="1"/>
        <v>9.8214285714285712</v>
      </c>
      <c r="J37" s="9">
        <v>133</v>
      </c>
      <c r="K37" s="9">
        <v>24</v>
      </c>
      <c r="L37" s="10">
        <f t="shared" si="2"/>
        <v>18.045112781954884</v>
      </c>
      <c r="M37" s="9"/>
      <c r="N37" s="9">
        <v>0</v>
      </c>
      <c r="O37" s="7" t="e">
        <f t="shared" si="3"/>
        <v>#DIV/0!</v>
      </c>
    </row>
    <row r="38" spans="1:15" ht="29" x14ac:dyDescent="0.45">
      <c r="A38" s="16" t="s">
        <v>34</v>
      </c>
      <c r="B38" s="17"/>
      <c r="C38" s="17">
        <v>0</v>
      </c>
      <c r="D38" s="11">
        <v>61</v>
      </c>
      <c r="E38" s="9">
        <v>6</v>
      </c>
      <c r="F38" s="10">
        <f t="shared" si="0"/>
        <v>9.8360655737704921</v>
      </c>
      <c r="G38" s="11">
        <v>61</v>
      </c>
      <c r="H38" s="9">
        <v>6</v>
      </c>
      <c r="I38" s="12">
        <f t="shared" si="1"/>
        <v>9.8360655737704921</v>
      </c>
      <c r="J38" s="9">
        <v>105</v>
      </c>
      <c r="K38" s="9">
        <v>10</v>
      </c>
      <c r="L38" s="10">
        <f t="shared" si="2"/>
        <v>9.5238095238095237</v>
      </c>
      <c r="M38" s="9"/>
      <c r="N38" s="9">
        <v>36</v>
      </c>
      <c r="O38" s="7" t="e">
        <f t="shared" si="3"/>
        <v>#DIV/0!</v>
      </c>
    </row>
    <row r="39" spans="1:15" ht="16.5" x14ac:dyDescent="0.45">
      <c r="A39" s="16" t="s">
        <v>35</v>
      </c>
      <c r="B39" s="17"/>
      <c r="C39" s="17">
        <v>0</v>
      </c>
      <c r="D39" s="11">
        <v>117</v>
      </c>
      <c r="E39" s="9">
        <v>7</v>
      </c>
      <c r="F39" s="10">
        <f t="shared" si="0"/>
        <v>5.982905982905983</v>
      </c>
      <c r="G39" s="11">
        <v>117</v>
      </c>
      <c r="H39" s="9">
        <v>13</v>
      </c>
      <c r="I39" s="12">
        <f t="shared" si="1"/>
        <v>11.111111111111111</v>
      </c>
      <c r="J39" s="9">
        <v>64</v>
      </c>
      <c r="K39" s="9">
        <v>17</v>
      </c>
      <c r="L39" s="10">
        <f t="shared" si="2"/>
        <v>26.5625</v>
      </c>
      <c r="M39" s="9"/>
      <c r="N39" s="9">
        <v>30</v>
      </c>
      <c r="O39" s="7" t="e">
        <f t="shared" si="3"/>
        <v>#DIV/0!</v>
      </c>
    </row>
    <row r="40" spans="1:15" ht="16.5" x14ac:dyDescent="0.45">
      <c r="A40" s="16" t="s">
        <v>36</v>
      </c>
      <c r="B40" s="17"/>
      <c r="C40" s="17">
        <v>0</v>
      </c>
      <c r="D40" s="11">
        <v>62</v>
      </c>
      <c r="E40" s="9">
        <v>4</v>
      </c>
      <c r="F40" s="10">
        <f t="shared" si="0"/>
        <v>6.4516129032258061</v>
      </c>
      <c r="G40" s="11">
        <v>62</v>
      </c>
      <c r="H40" s="9">
        <v>9</v>
      </c>
      <c r="I40" s="12">
        <f t="shared" si="1"/>
        <v>14.516129032258066</v>
      </c>
      <c r="J40" s="9">
        <v>69</v>
      </c>
      <c r="K40" s="9">
        <v>8</v>
      </c>
      <c r="L40" s="10">
        <f t="shared" si="2"/>
        <v>11.594202898550725</v>
      </c>
      <c r="M40" s="9"/>
      <c r="N40" s="9">
        <v>28</v>
      </c>
      <c r="O40" s="7" t="e">
        <f t="shared" si="3"/>
        <v>#DIV/0!</v>
      </c>
    </row>
    <row r="41" spans="1:15" ht="16.5" x14ac:dyDescent="0.45">
      <c r="A41" s="16" t="s">
        <v>37</v>
      </c>
      <c r="B41" s="17"/>
      <c r="C41" s="17">
        <v>0</v>
      </c>
      <c r="D41" s="11">
        <v>62</v>
      </c>
      <c r="E41" s="9">
        <v>4</v>
      </c>
      <c r="F41" s="10">
        <f t="shared" si="0"/>
        <v>6.4516129032258061</v>
      </c>
      <c r="G41" s="11">
        <v>62</v>
      </c>
      <c r="H41" s="9">
        <v>4</v>
      </c>
      <c r="I41" s="12">
        <f t="shared" si="1"/>
        <v>6.4516129032258061</v>
      </c>
      <c r="J41" s="9">
        <v>75</v>
      </c>
      <c r="K41" s="9">
        <v>12</v>
      </c>
      <c r="L41" s="10">
        <f t="shared" si="2"/>
        <v>16</v>
      </c>
      <c r="M41" s="9"/>
      <c r="N41" s="9">
        <v>30</v>
      </c>
      <c r="O41" s="7" t="e">
        <f t="shared" si="3"/>
        <v>#DIV/0!</v>
      </c>
    </row>
    <row r="42" spans="1:15" ht="16.5" x14ac:dyDescent="0.45">
      <c r="A42" s="16" t="s">
        <v>38</v>
      </c>
      <c r="B42" s="17"/>
      <c r="C42" s="17">
        <v>0</v>
      </c>
      <c r="D42" s="11">
        <v>130</v>
      </c>
      <c r="E42" s="9">
        <v>10</v>
      </c>
      <c r="F42" s="10">
        <f t="shared" si="0"/>
        <v>7.6923076923076925</v>
      </c>
      <c r="G42" s="11">
        <v>130</v>
      </c>
      <c r="H42" s="9">
        <v>8</v>
      </c>
      <c r="I42" s="12">
        <f t="shared" si="1"/>
        <v>6.1538461538461542</v>
      </c>
      <c r="J42" s="9">
        <v>123</v>
      </c>
      <c r="K42" s="9">
        <v>14</v>
      </c>
      <c r="L42" s="10">
        <f t="shared" si="2"/>
        <v>11.38211382113821</v>
      </c>
      <c r="M42" s="9"/>
      <c r="N42" s="9">
        <v>20</v>
      </c>
      <c r="O42" s="7" t="e">
        <f t="shared" si="3"/>
        <v>#DIV/0!</v>
      </c>
    </row>
    <row r="43" spans="1:15" ht="16.5" x14ac:dyDescent="0.45">
      <c r="A43" s="16" t="s">
        <v>39</v>
      </c>
      <c r="B43" s="17"/>
      <c r="C43" s="17">
        <v>0</v>
      </c>
      <c r="D43" s="11">
        <v>259</v>
      </c>
      <c r="E43" s="9">
        <v>31</v>
      </c>
      <c r="F43" s="10">
        <f t="shared" si="0"/>
        <v>11.969111969111969</v>
      </c>
      <c r="G43" s="11">
        <v>259</v>
      </c>
      <c r="H43" s="9">
        <v>20</v>
      </c>
      <c r="I43" s="12">
        <f t="shared" si="1"/>
        <v>7.7220077220077217</v>
      </c>
      <c r="J43" s="9">
        <v>208</v>
      </c>
      <c r="K43" s="9">
        <v>22</v>
      </c>
      <c r="L43" s="10">
        <f t="shared" si="2"/>
        <v>10.576923076923077</v>
      </c>
      <c r="M43" s="9"/>
      <c r="N43" s="9">
        <v>34</v>
      </c>
      <c r="O43" s="7" t="e">
        <f t="shared" si="3"/>
        <v>#DIV/0!</v>
      </c>
    </row>
    <row r="44" spans="1:15" ht="29" x14ac:dyDescent="0.45">
      <c r="A44" s="16" t="s">
        <v>40</v>
      </c>
      <c r="B44" s="17"/>
      <c r="C44" s="17">
        <v>0</v>
      </c>
      <c r="D44" s="11">
        <v>36</v>
      </c>
      <c r="E44" s="9">
        <v>1</v>
      </c>
      <c r="F44" s="10">
        <f t="shared" si="0"/>
        <v>2.7777777777777777</v>
      </c>
      <c r="G44" s="11">
        <v>36</v>
      </c>
      <c r="H44" s="9">
        <v>1</v>
      </c>
      <c r="I44" s="12">
        <f t="shared" si="1"/>
        <v>2.7777777777777777</v>
      </c>
      <c r="J44" s="9">
        <v>36</v>
      </c>
      <c r="K44" s="9">
        <v>8</v>
      </c>
      <c r="L44" s="10">
        <f t="shared" si="2"/>
        <v>22.222222222222221</v>
      </c>
      <c r="M44" s="9"/>
      <c r="N44" s="9">
        <v>0</v>
      </c>
      <c r="O44" s="7" t="e">
        <f t="shared" si="3"/>
        <v>#DIV/0!</v>
      </c>
    </row>
    <row r="45" spans="1:15" ht="29" x14ac:dyDescent="0.45">
      <c r="A45" s="16" t="s">
        <v>41</v>
      </c>
      <c r="B45" s="17"/>
      <c r="C45" s="17">
        <v>4</v>
      </c>
      <c r="D45" s="11">
        <v>129</v>
      </c>
      <c r="E45" s="9">
        <v>9</v>
      </c>
      <c r="F45" s="10">
        <f t="shared" si="0"/>
        <v>6.9767441860465116</v>
      </c>
      <c r="G45" s="11">
        <v>129</v>
      </c>
      <c r="H45" s="9">
        <v>22</v>
      </c>
      <c r="I45" s="12">
        <f t="shared" si="1"/>
        <v>17.054263565891471</v>
      </c>
      <c r="J45" s="9">
        <v>153</v>
      </c>
      <c r="K45" s="9">
        <v>15</v>
      </c>
      <c r="L45" s="10">
        <f t="shared" si="2"/>
        <v>9.8039215686274517</v>
      </c>
      <c r="M45" s="9"/>
      <c r="N45" s="9">
        <v>133</v>
      </c>
      <c r="O45" s="7" t="e">
        <f t="shared" si="3"/>
        <v>#DIV/0!</v>
      </c>
    </row>
    <row r="46" spans="1:15" x14ac:dyDescent="0.35">
      <c r="A46" s="40" t="s">
        <v>50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x14ac:dyDescent="0.35">
      <c r="A47" s="34" t="s">
        <v>51</v>
      </c>
      <c r="B47" s="34"/>
      <c r="C47" s="34"/>
      <c r="D47" s="34"/>
      <c r="E47" s="34"/>
    </row>
    <row r="48" spans="1:15" x14ac:dyDescent="0.35">
      <c r="A48" s="35" t="s">
        <v>52</v>
      </c>
      <c r="B48" s="35"/>
      <c r="C48" s="35"/>
      <c r="D48" s="35"/>
      <c r="E48" s="35"/>
    </row>
  </sheetData>
  <mergeCells count="8">
    <mergeCell ref="A46:L46"/>
    <mergeCell ref="A47:E47"/>
    <mergeCell ref="A48:E48"/>
    <mergeCell ref="A1:O1"/>
    <mergeCell ref="A2:O3"/>
    <mergeCell ref="A4:O4"/>
    <mergeCell ref="A5:L5"/>
    <mergeCell ref="M5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8"/>
  <sheetViews>
    <sheetView topLeftCell="B22" workbookViewId="0">
      <selection activeCell="M36" sqref="M36"/>
    </sheetView>
  </sheetViews>
  <sheetFormatPr baseColWidth="10" defaultRowHeight="14.5" x14ac:dyDescent="0.35"/>
  <sheetData>
    <row r="1" spans="1:15" ht="23.5" x14ac:dyDescent="0.55000000000000004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4.25" customHeight="1" x14ac:dyDescent="0.35">
      <c r="A2" s="37" t="s">
        <v>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4.2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8.75" customHeight="1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ht="15" customHeight="1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2" t="s">
        <v>49</v>
      </c>
      <c r="N5" s="42"/>
      <c r="O5" s="42"/>
    </row>
    <row r="6" spans="1:15" ht="43.5" x14ac:dyDescent="0.35">
      <c r="A6" s="5" t="s">
        <v>2</v>
      </c>
      <c r="B6" s="5" t="s">
        <v>42</v>
      </c>
      <c r="C6" s="6" t="s">
        <v>54</v>
      </c>
      <c r="D6" s="5" t="s">
        <v>42</v>
      </c>
      <c r="E6" s="6" t="s">
        <v>45</v>
      </c>
      <c r="F6" s="6" t="s">
        <v>44</v>
      </c>
      <c r="G6" s="5" t="s">
        <v>42</v>
      </c>
      <c r="H6" s="6" t="s">
        <v>46</v>
      </c>
      <c r="I6" s="6" t="s">
        <v>44</v>
      </c>
      <c r="J6" s="5" t="s">
        <v>42</v>
      </c>
      <c r="K6" s="6" t="s">
        <v>43</v>
      </c>
      <c r="L6" s="5" t="s">
        <v>44</v>
      </c>
      <c r="M6" s="5" t="s">
        <v>42</v>
      </c>
      <c r="N6" s="6" t="s">
        <v>48</v>
      </c>
      <c r="O6" s="5" t="s">
        <v>44</v>
      </c>
    </row>
    <row r="7" spans="1:15" ht="16.5" x14ac:dyDescent="0.45">
      <c r="A7" s="13" t="s">
        <v>3</v>
      </c>
      <c r="B7" s="17"/>
      <c r="C7" s="18">
        <v>331</v>
      </c>
      <c r="D7" s="11">
        <v>8431</v>
      </c>
      <c r="E7" s="7">
        <v>1127</v>
      </c>
      <c r="F7" s="10">
        <f t="shared" ref="F7:F45" si="0">SUM(E7/D7*100)</f>
        <v>13.3673348357253</v>
      </c>
      <c r="G7" s="11">
        <v>8431</v>
      </c>
      <c r="H7" s="8">
        <v>947</v>
      </c>
      <c r="I7" s="12">
        <f>SUM(H7/G7*100)</f>
        <v>11.232356778555332</v>
      </c>
      <c r="J7" s="8">
        <v>10719</v>
      </c>
      <c r="K7" s="8">
        <v>1294</v>
      </c>
      <c r="L7" s="10">
        <f>SUM(K7/J7*100)</f>
        <v>12.072021643810057</v>
      </c>
      <c r="M7" s="8"/>
      <c r="N7" s="8">
        <v>4286</v>
      </c>
      <c r="O7" s="7" t="e">
        <f>SUM(N7/M7*100)</f>
        <v>#DIV/0!</v>
      </c>
    </row>
    <row r="8" spans="1:15" ht="29" x14ac:dyDescent="0.45">
      <c r="A8" s="13" t="s">
        <v>4</v>
      </c>
      <c r="B8" s="17"/>
      <c r="C8" s="17">
        <v>21</v>
      </c>
      <c r="D8" s="11">
        <v>576</v>
      </c>
      <c r="E8" s="9">
        <v>73</v>
      </c>
      <c r="F8" s="10">
        <f t="shared" si="0"/>
        <v>12.673611111111111</v>
      </c>
      <c r="G8" s="11">
        <v>576</v>
      </c>
      <c r="H8" s="9">
        <v>61</v>
      </c>
      <c r="I8" s="12">
        <f t="shared" ref="I8:I45" si="1">SUM(H8/G8*100)</f>
        <v>10.590277777777777</v>
      </c>
      <c r="J8" s="9">
        <v>657</v>
      </c>
      <c r="K8" s="9">
        <v>94</v>
      </c>
      <c r="L8" s="10">
        <f t="shared" ref="L8:L45" si="2">SUM(K8/J8*100)</f>
        <v>14.30745814307458</v>
      </c>
      <c r="M8" s="9"/>
      <c r="N8" s="9">
        <v>179</v>
      </c>
      <c r="O8" s="7" t="e">
        <f t="shared" ref="O8:O45" si="3">SUM(N8/M8*100)</f>
        <v>#DIV/0!</v>
      </c>
    </row>
    <row r="9" spans="1:15" ht="16.5" x14ac:dyDescent="0.45">
      <c r="A9" s="13" t="s">
        <v>5</v>
      </c>
      <c r="B9" s="17"/>
      <c r="C9" s="17">
        <v>52</v>
      </c>
      <c r="D9" s="11">
        <v>1425</v>
      </c>
      <c r="E9" s="9">
        <v>135</v>
      </c>
      <c r="F9" s="10">
        <f t="shared" si="0"/>
        <v>9.4736842105263168</v>
      </c>
      <c r="G9" s="11">
        <v>1425</v>
      </c>
      <c r="H9" s="9">
        <v>117</v>
      </c>
      <c r="I9" s="12">
        <f t="shared" si="1"/>
        <v>8.2105263157894743</v>
      </c>
      <c r="J9" s="9">
        <v>1082</v>
      </c>
      <c r="K9" s="9">
        <v>134</v>
      </c>
      <c r="L9" s="10">
        <f t="shared" si="2"/>
        <v>12.384473197781885</v>
      </c>
      <c r="M9" s="9"/>
      <c r="N9" s="9">
        <v>126</v>
      </c>
      <c r="O9" s="7" t="e">
        <f t="shared" si="3"/>
        <v>#DIV/0!</v>
      </c>
    </row>
    <row r="10" spans="1:15" ht="29" x14ac:dyDescent="0.45">
      <c r="A10" s="13" t="s">
        <v>6</v>
      </c>
      <c r="B10" s="17"/>
      <c r="C10" s="17">
        <v>3</v>
      </c>
      <c r="D10" s="11">
        <v>488</v>
      </c>
      <c r="E10" s="9">
        <v>39</v>
      </c>
      <c r="F10" s="10">
        <f t="shared" si="0"/>
        <v>7.9918032786885256</v>
      </c>
      <c r="G10" s="11">
        <v>488</v>
      </c>
      <c r="H10" s="9">
        <v>51</v>
      </c>
      <c r="I10" s="12">
        <f t="shared" si="1"/>
        <v>10.450819672131148</v>
      </c>
      <c r="J10" s="9">
        <v>514</v>
      </c>
      <c r="K10" s="9">
        <v>78</v>
      </c>
      <c r="L10" s="10">
        <f t="shared" si="2"/>
        <v>15.175097276264591</v>
      </c>
      <c r="M10" s="9"/>
      <c r="N10" s="9">
        <v>75</v>
      </c>
      <c r="O10" s="7" t="e">
        <f t="shared" si="3"/>
        <v>#DIV/0!</v>
      </c>
    </row>
    <row r="11" spans="1:15" ht="29" x14ac:dyDescent="0.45">
      <c r="A11" s="13" t="s">
        <v>7</v>
      </c>
      <c r="B11" s="17"/>
      <c r="C11" s="17">
        <v>21</v>
      </c>
      <c r="D11" s="11">
        <v>224</v>
      </c>
      <c r="E11" s="9">
        <v>13</v>
      </c>
      <c r="F11" s="10">
        <f t="shared" si="0"/>
        <v>5.8035714285714288</v>
      </c>
      <c r="G11" s="11">
        <v>224</v>
      </c>
      <c r="H11" s="9">
        <v>46</v>
      </c>
      <c r="I11" s="12">
        <f t="shared" si="1"/>
        <v>20.535714285714285</v>
      </c>
      <c r="J11" s="9">
        <v>243</v>
      </c>
      <c r="K11" s="9">
        <v>63</v>
      </c>
      <c r="L11" s="10">
        <f t="shared" si="2"/>
        <v>25.925925925925924</v>
      </c>
      <c r="M11" s="9"/>
      <c r="N11" s="9">
        <v>67</v>
      </c>
      <c r="O11" s="7" t="e">
        <f t="shared" si="3"/>
        <v>#DIV/0!</v>
      </c>
    </row>
    <row r="12" spans="1:15" ht="16.5" x14ac:dyDescent="0.45">
      <c r="A12" s="13" t="s">
        <v>8</v>
      </c>
      <c r="B12" s="17"/>
      <c r="C12" s="17">
        <v>9</v>
      </c>
      <c r="D12" s="11">
        <v>135</v>
      </c>
      <c r="E12" s="9">
        <v>31</v>
      </c>
      <c r="F12" s="10">
        <f t="shared" si="0"/>
        <v>22.962962962962962</v>
      </c>
      <c r="G12" s="11">
        <v>135</v>
      </c>
      <c r="H12" s="9">
        <v>27</v>
      </c>
      <c r="I12" s="12">
        <f t="shared" si="1"/>
        <v>20</v>
      </c>
      <c r="J12" s="9">
        <v>190</v>
      </c>
      <c r="K12" s="9">
        <v>50</v>
      </c>
      <c r="L12" s="10">
        <f t="shared" si="2"/>
        <v>26.315789473684209</v>
      </c>
      <c r="M12" s="9"/>
      <c r="N12" s="9">
        <v>110</v>
      </c>
      <c r="O12" s="7" t="e">
        <f t="shared" si="3"/>
        <v>#DIV/0!</v>
      </c>
    </row>
    <row r="13" spans="1:15" ht="29" x14ac:dyDescent="0.45">
      <c r="A13" s="13" t="s">
        <v>9</v>
      </c>
      <c r="B13" s="17"/>
      <c r="C13" s="17">
        <v>57</v>
      </c>
      <c r="D13" s="11">
        <v>1283</v>
      </c>
      <c r="E13" s="9">
        <v>104</v>
      </c>
      <c r="F13" s="10">
        <f t="shared" si="0"/>
        <v>8.1060015588464545</v>
      </c>
      <c r="G13" s="11">
        <v>1283</v>
      </c>
      <c r="H13" s="9">
        <v>107</v>
      </c>
      <c r="I13" s="12">
        <f t="shared" si="1"/>
        <v>8.339828526890102</v>
      </c>
      <c r="J13" s="9">
        <v>1399</v>
      </c>
      <c r="K13" s="9">
        <v>121</v>
      </c>
      <c r="L13" s="10">
        <f t="shared" si="2"/>
        <v>8.64903502501787</v>
      </c>
      <c r="M13" s="9"/>
      <c r="N13" s="9">
        <v>46</v>
      </c>
      <c r="O13" s="7" t="e">
        <f t="shared" si="3"/>
        <v>#DIV/0!</v>
      </c>
    </row>
    <row r="14" spans="1:15" ht="16.5" x14ac:dyDescent="0.45">
      <c r="A14" s="13" t="s">
        <v>10</v>
      </c>
      <c r="B14" s="17"/>
      <c r="C14" s="17">
        <v>6</v>
      </c>
      <c r="D14" s="11">
        <v>581</v>
      </c>
      <c r="E14" s="9">
        <v>36</v>
      </c>
      <c r="F14" s="10">
        <f t="shared" si="0"/>
        <v>6.1962134251290877</v>
      </c>
      <c r="G14" s="11">
        <v>581</v>
      </c>
      <c r="H14" s="9">
        <v>53</v>
      </c>
      <c r="I14" s="12">
        <f t="shared" si="1"/>
        <v>9.1222030981067128</v>
      </c>
      <c r="J14" s="9">
        <v>608</v>
      </c>
      <c r="K14" s="9">
        <v>43</v>
      </c>
      <c r="L14" s="10">
        <f t="shared" si="2"/>
        <v>7.072368421052631</v>
      </c>
      <c r="M14" s="9"/>
      <c r="N14" s="9">
        <v>0</v>
      </c>
      <c r="O14" s="7" t="e">
        <f t="shared" si="3"/>
        <v>#DIV/0!</v>
      </c>
    </row>
    <row r="15" spans="1:15" ht="16.5" x14ac:dyDescent="0.45">
      <c r="A15" s="13" t="s">
        <v>11</v>
      </c>
      <c r="B15" s="17"/>
      <c r="C15" s="17">
        <v>19</v>
      </c>
      <c r="D15" s="11">
        <v>166</v>
      </c>
      <c r="E15" s="9">
        <v>9</v>
      </c>
      <c r="F15" s="10">
        <f t="shared" si="0"/>
        <v>5.4216867469879517</v>
      </c>
      <c r="G15" s="11">
        <v>166</v>
      </c>
      <c r="H15" s="9">
        <v>27</v>
      </c>
      <c r="I15" s="12">
        <f t="shared" si="1"/>
        <v>16.265060240963855</v>
      </c>
      <c r="J15" s="9">
        <v>177</v>
      </c>
      <c r="K15" s="9">
        <v>39</v>
      </c>
      <c r="L15" s="10">
        <f t="shared" si="2"/>
        <v>22.033898305084744</v>
      </c>
      <c r="M15" s="9"/>
      <c r="N15" s="9">
        <v>30</v>
      </c>
      <c r="O15" s="7" t="e">
        <f t="shared" si="3"/>
        <v>#DIV/0!</v>
      </c>
    </row>
    <row r="16" spans="1:15" ht="16.5" x14ac:dyDescent="0.45">
      <c r="A16" s="13" t="s">
        <v>12</v>
      </c>
      <c r="B16" s="17"/>
      <c r="C16" s="17">
        <v>29</v>
      </c>
      <c r="D16" s="11">
        <v>952</v>
      </c>
      <c r="E16" s="9">
        <v>55</v>
      </c>
      <c r="F16" s="10">
        <f t="shared" si="0"/>
        <v>5.7773109243697478</v>
      </c>
      <c r="G16" s="11">
        <v>952</v>
      </c>
      <c r="H16" s="9">
        <v>51</v>
      </c>
      <c r="I16" s="12">
        <f t="shared" si="1"/>
        <v>5.3571428571428568</v>
      </c>
      <c r="J16" s="9">
        <v>851</v>
      </c>
      <c r="K16" s="9">
        <v>108</v>
      </c>
      <c r="L16" s="10">
        <f t="shared" si="2"/>
        <v>12.690951821386603</v>
      </c>
      <c r="M16" s="9"/>
      <c r="N16" s="9">
        <v>12</v>
      </c>
      <c r="O16" s="7" t="e">
        <f t="shared" si="3"/>
        <v>#DIV/0!</v>
      </c>
    </row>
    <row r="17" spans="1:15" ht="29" x14ac:dyDescent="0.45">
      <c r="A17" s="13" t="s">
        <v>13</v>
      </c>
      <c r="B17" s="17"/>
      <c r="C17" s="17">
        <v>8</v>
      </c>
      <c r="D17" s="11">
        <v>403</v>
      </c>
      <c r="E17" s="9">
        <v>103</v>
      </c>
      <c r="F17" s="10">
        <f t="shared" si="0"/>
        <v>25.558312655086851</v>
      </c>
      <c r="G17" s="11">
        <v>403</v>
      </c>
      <c r="H17" s="9">
        <v>70</v>
      </c>
      <c r="I17" s="12">
        <f t="shared" si="1"/>
        <v>17.369727047146402</v>
      </c>
      <c r="J17" s="9">
        <v>254</v>
      </c>
      <c r="K17" s="9">
        <v>82</v>
      </c>
      <c r="L17" s="10">
        <f t="shared" si="2"/>
        <v>32.283464566929133</v>
      </c>
      <c r="M17" s="9"/>
      <c r="N17" s="9">
        <v>48</v>
      </c>
      <c r="O17" s="7" t="e">
        <f t="shared" si="3"/>
        <v>#DIV/0!</v>
      </c>
    </row>
    <row r="18" spans="1:15" ht="16.5" x14ac:dyDescent="0.45">
      <c r="A18" s="14" t="s">
        <v>14</v>
      </c>
      <c r="B18" s="17"/>
      <c r="C18" s="17">
        <v>1</v>
      </c>
      <c r="D18" s="11">
        <v>643</v>
      </c>
      <c r="E18" s="9">
        <v>111</v>
      </c>
      <c r="F18" s="10">
        <f t="shared" si="0"/>
        <v>17.262830482115085</v>
      </c>
      <c r="G18" s="11">
        <v>643</v>
      </c>
      <c r="H18" s="9">
        <v>71</v>
      </c>
      <c r="I18" s="12">
        <f t="shared" si="1"/>
        <v>11.041990668740279</v>
      </c>
      <c r="J18" s="9">
        <v>843</v>
      </c>
      <c r="K18" s="9">
        <v>90</v>
      </c>
      <c r="L18" s="10">
        <f t="shared" si="2"/>
        <v>10.676156583629894</v>
      </c>
      <c r="M18" s="9"/>
      <c r="N18" s="9">
        <v>203</v>
      </c>
      <c r="O18" s="7" t="e">
        <f t="shared" si="3"/>
        <v>#DIV/0!</v>
      </c>
    </row>
    <row r="19" spans="1:15" ht="43.5" x14ac:dyDescent="0.45">
      <c r="A19" s="14" t="s">
        <v>15</v>
      </c>
      <c r="B19" s="17"/>
      <c r="C19" s="17">
        <v>0</v>
      </c>
      <c r="D19" s="11">
        <v>236</v>
      </c>
      <c r="E19" s="9">
        <v>25</v>
      </c>
      <c r="F19" s="10">
        <f t="shared" si="0"/>
        <v>10.59322033898305</v>
      </c>
      <c r="G19" s="11">
        <v>236</v>
      </c>
      <c r="H19" s="9">
        <v>27</v>
      </c>
      <c r="I19" s="12">
        <f t="shared" si="1"/>
        <v>11.440677966101696</v>
      </c>
      <c r="J19" s="9">
        <v>231</v>
      </c>
      <c r="K19" s="9">
        <v>29</v>
      </c>
      <c r="L19" s="10">
        <f t="shared" si="2"/>
        <v>12.554112554112553</v>
      </c>
      <c r="M19" s="9"/>
      <c r="N19" s="9">
        <v>53</v>
      </c>
      <c r="O19" s="7" t="e">
        <f t="shared" si="3"/>
        <v>#DIV/0!</v>
      </c>
    </row>
    <row r="20" spans="1:15" ht="29" x14ac:dyDescent="0.45">
      <c r="A20" s="14" t="s">
        <v>16</v>
      </c>
      <c r="B20" s="17"/>
      <c r="C20" s="17">
        <v>3</v>
      </c>
      <c r="D20" s="11">
        <v>5736</v>
      </c>
      <c r="E20" s="9">
        <v>748</v>
      </c>
      <c r="F20" s="10">
        <f t="shared" si="0"/>
        <v>13.040446304044631</v>
      </c>
      <c r="G20" s="11">
        <v>5736</v>
      </c>
      <c r="H20" s="9">
        <v>533</v>
      </c>
      <c r="I20" s="12">
        <f t="shared" si="1"/>
        <v>9.2921896792189678</v>
      </c>
      <c r="J20" s="9">
        <v>6878</v>
      </c>
      <c r="K20" s="9">
        <v>614</v>
      </c>
      <c r="L20" s="10">
        <f t="shared" si="2"/>
        <v>8.9270136667635942</v>
      </c>
      <c r="M20" s="9"/>
      <c r="N20" s="9">
        <v>879</v>
      </c>
      <c r="O20" s="7" t="e">
        <f t="shared" si="3"/>
        <v>#DIV/0!</v>
      </c>
    </row>
    <row r="21" spans="1:15" ht="16.5" x14ac:dyDescent="0.45">
      <c r="A21" s="14" t="s">
        <v>17</v>
      </c>
      <c r="B21" s="17"/>
      <c r="C21" s="17">
        <v>0</v>
      </c>
      <c r="D21" s="11">
        <v>2230</v>
      </c>
      <c r="E21" s="9">
        <v>340</v>
      </c>
      <c r="F21" s="10">
        <f t="shared" si="0"/>
        <v>15.246636771300448</v>
      </c>
      <c r="G21" s="11">
        <v>2230</v>
      </c>
      <c r="H21" s="9">
        <v>314</v>
      </c>
      <c r="I21" s="12">
        <f t="shared" si="1"/>
        <v>14.080717488789238</v>
      </c>
      <c r="J21" s="9">
        <v>2609</v>
      </c>
      <c r="K21" s="9">
        <v>404</v>
      </c>
      <c r="L21" s="10">
        <f t="shared" si="2"/>
        <v>15.484860099655041</v>
      </c>
      <c r="M21" s="9"/>
      <c r="N21" s="9">
        <v>2406</v>
      </c>
      <c r="O21" s="7" t="e">
        <f t="shared" si="3"/>
        <v>#DIV/0!</v>
      </c>
    </row>
    <row r="22" spans="1:15" ht="16.5" x14ac:dyDescent="0.45">
      <c r="A22" s="14" t="s">
        <v>18</v>
      </c>
      <c r="B22" s="17"/>
      <c r="C22" s="17">
        <v>0</v>
      </c>
      <c r="D22" s="11">
        <v>543</v>
      </c>
      <c r="E22" s="9">
        <v>96</v>
      </c>
      <c r="F22" s="10">
        <f t="shared" si="0"/>
        <v>17.679558011049721</v>
      </c>
      <c r="G22" s="11">
        <v>543</v>
      </c>
      <c r="H22" s="9">
        <v>92</v>
      </c>
      <c r="I22" s="12">
        <f t="shared" si="1"/>
        <v>16.94290976058932</v>
      </c>
      <c r="J22" s="9">
        <v>634</v>
      </c>
      <c r="K22" s="9">
        <v>114</v>
      </c>
      <c r="L22" s="10">
        <f t="shared" si="2"/>
        <v>17.981072555205046</v>
      </c>
      <c r="M22" s="9"/>
      <c r="N22" s="9">
        <v>10</v>
      </c>
      <c r="O22" s="7" t="e">
        <f t="shared" si="3"/>
        <v>#DIV/0!</v>
      </c>
    </row>
    <row r="23" spans="1:15" ht="16.5" x14ac:dyDescent="0.45">
      <c r="A23" s="14" t="s">
        <v>19</v>
      </c>
      <c r="B23" s="17"/>
      <c r="C23" s="17">
        <v>0</v>
      </c>
      <c r="D23" s="11">
        <v>284</v>
      </c>
      <c r="E23" s="9">
        <v>37</v>
      </c>
      <c r="F23" s="10">
        <f t="shared" si="0"/>
        <v>13.028169014084506</v>
      </c>
      <c r="G23" s="11">
        <v>284</v>
      </c>
      <c r="H23" s="9">
        <v>39</v>
      </c>
      <c r="I23" s="12">
        <f t="shared" si="1"/>
        <v>13.732394366197184</v>
      </c>
      <c r="J23" s="9">
        <v>376</v>
      </c>
      <c r="K23" s="9">
        <v>65</v>
      </c>
      <c r="L23" s="10">
        <f t="shared" si="2"/>
        <v>17.287234042553195</v>
      </c>
      <c r="M23" s="9"/>
      <c r="N23" s="9">
        <v>107</v>
      </c>
      <c r="O23" s="7" t="e">
        <f t="shared" si="3"/>
        <v>#DIV/0!</v>
      </c>
    </row>
    <row r="24" spans="1:15" ht="29" x14ac:dyDescent="0.45">
      <c r="A24" s="14" t="s">
        <v>20</v>
      </c>
      <c r="B24" s="17"/>
      <c r="C24" s="17">
        <v>0</v>
      </c>
      <c r="D24" s="11">
        <v>220</v>
      </c>
      <c r="E24" s="9">
        <v>32</v>
      </c>
      <c r="F24" s="10">
        <f t="shared" si="0"/>
        <v>14.545454545454545</v>
      </c>
      <c r="G24" s="11">
        <v>220</v>
      </c>
      <c r="H24" s="9">
        <v>47</v>
      </c>
      <c r="I24" s="12">
        <f t="shared" si="1"/>
        <v>21.363636363636363</v>
      </c>
      <c r="J24" s="9">
        <v>212</v>
      </c>
      <c r="K24" s="9">
        <v>115</v>
      </c>
      <c r="L24" s="10">
        <f t="shared" si="2"/>
        <v>54.24528301886793</v>
      </c>
      <c r="M24" s="9"/>
      <c r="N24" s="9">
        <v>4</v>
      </c>
      <c r="O24" s="7" t="e">
        <f t="shared" si="3"/>
        <v>#DIV/0!</v>
      </c>
    </row>
    <row r="25" spans="1:15" ht="29" x14ac:dyDescent="0.45">
      <c r="A25" s="14" t="s">
        <v>21</v>
      </c>
      <c r="B25" s="17"/>
      <c r="C25" s="17">
        <v>0</v>
      </c>
      <c r="D25" s="11">
        <v>228</v>
      </c>
      <c r="E25" s="9">
        <v>25</v>
      </c>
      <c r="F25" s="10">
        <f t="shared" si="0"/>
        <v>10.964912280701753</v>
      </c>
      <c r="G25" s="11">
        <v>228</v>
      </c>
      <c r="H25" s="9">
        <v>21</v>
      </c>
      <c r="I25" s="12">
        <f t="shared" si="1"/>
        <v>9.2105263157894726</v>
      </c>
      <c r="J25" s="9">
        <v>219</v>
      </c>
      <c r="K25" s="9">
        <v>28</v>
      </c>
      <c r="L25" s="10">
        <f t="shared" si="2"/>
        <v>12.785388127853881</v>
      </c>
      <c r="M25" s="9"/>
      <c r="N25" s="9">
        <v>45</v>
      </c>
      <c r="O25" s="7" t="e">
        <f t="shared" si="3"/>
        <v>#DIV/0!</v>
      </c>
    </row>
    <row r="26" spans="1:15" ht="29" x14ac:dyDescent="0.45">
      <c r="A26" s="14" t="s">
        <v>22</v>
      </c>
      <c r="B26" s="17"/>
      <c r="C26" s="17">
        <v>0</v>
      </c>
      <c r="D26" s="11">
        <v>33</v>
      </c>
      <c r="E26" s="9">
        <v>14</v>
      </c>
      <c r="F26" s="10">
        <f t="shared" si="0"/>
        <v>42.424242424242422</v>
      </c>
      <c r="G26" s="11">
        <v>33</v>
      </c>
      <c r="H26" s="9">
        <v>2</v>
      </c>
      <c r="I26" s="12">
        <f t="shared" si="1"/>
        <v>6.0606060606060606</v>
      </c>
      <c r="J26" s="9">
        <v>38</v>
      </c>
      <c r="K26" s="9">
        <v>1</v>
      </c>
      <c r="L26" s="10">
        <f t="shared" si="2"/>
        <v>2.6315789473684208</v>
      </c>
      <c r="M26" s="9"/>
      <c r="N26" s="9">
        <v>100</v>
      </c>
      <c r="O26" s="7" t="e">
        <f t="shared" si="3"/>
        <v>#DIV/0!</v>
      </c>
    </row>
    <row r="27" spans="1:15" ht="29" x14ac:dyDescent="0.45">
      <c r="A27" s="14" t="s">
        <v>23</v>
      </c>
      <c r="B27" s="17"/>
      <c r="C27" s="17">
        <v>0</v>
      </c>
      <c r="D27" s="11">
        <v>38</v>
      </c>
      <c r="E27" s="9">
        <v>5</v>
      </c>
      <c r="F27" s="10">
        <f t="shared" si="0"/>
        <v>13.157894736842104</v>
      </c>
      <c r="G27" s="11">
        <v>38</v>
      </c>
      <c r="H27" s="9">
        <v>2</v>
      </c>
      <c r="I27" s="12">
        <f t="shared" si="1"/>
        <v>5.2631578947368416</v>
      </c>
      <c r="J27" s="9">
        <v>41</v>
      </c>
      <c r="K27" s="9">
        <v>4</v>
      </c>
      <c r="L27" s="10">
        <f t="shared" si="2"/>
        <v>9.7560975609756095</v>
      </c>
      <c r="M27" s="9"/>
      <c r="N27" s="9">
        <v>50</v>
      </c>
      <c r="O27" s="7" t="e">
        <f t="shared" si="3"/>
        <v>#DIV/0!</v>
      </c>
    </row>
    <row r="28" spans="1:15" ht="16.5" x14ac:dyDescent="0.45">
      <c r="A28" s="14" t="s">
        <v>24</v>
      </c>
      <c r="B28" s="17"/>
      <c r="C28" s="17">
        <v>0</v>
      </c>
      <c r="D28" s="11">
        <v>130</v>
      </c>
      <c r="E28" s="9">
        <v>10</v>
      </c>
      <c r="F28" s="10">
        <f t="shared" si="0"/>
        <v>7.6923076923076925</v>
      </c>
      <c r="G28" s="11">
        <v>130</v>
      </c>
      <c r="H28" s="9">
        <v>28</v>
      </c>
      <c r="I28" s="12">
        <f t="shared" si="1"/>
        <v>21.53846153846154</v>
      </c>
      <c r="J28" s="9">
        <v>140</v>
      </c>
      <c r="K28" s="9">
        <v>32</v>
      </c>
      <c r="L28" s="10">
        <f t="shared" si="2"/>
        <v>22.857142857142858</v>
      </c>
      <c r="M28" s="9"/>
      <c r="N28" s="9">
        <v>11</v>
      </c>
      <c r="O28" s="7" t="e">
        <f t="shared" si="3"/>
        <v>#DIV/0!</v>
      </c>
    </row>
    <row r="29" spans="1:15" ht="16.5" x14ac:dyDescent="0.45">
      <c r="A29" s="14" t="s">
        <v>25</v>
      </c>
      <c r="B29" s="17"/>
      <c r="C29" s="17">
        <v>0</v>
      </c>
      <c r="D29" s="11">
        <v>278</v>
      </c>
      <c r="E29" s="9">
        <v>60</v>
      </c>
      <c r="F29" s="10">
        <f t="shared" si="0"/>
        <v>21.582733812949641</v>
      </c>
      <c r="G29" s="11">
        <v>278</v>
      </c>
      <c r="H29" s="9">
        <v>67</v>
      </c>
      <c r="I29" s="12">
        <f t="shared" si="1"/>
        <v>24.100719424460433</v>
      </c>
      <c r="J29" s="9">
        <v>348</v>
      </c>
      <c r="K29" s="9">
        <v>125</v>
      </c>
      <c r="L29" s="10">
        <f t="shared" si="2"/>
        <v>35.919540229885058</v>
      </c>
      <c r="M29" s="9"/>
      <c r="N29" s="9">
        <v>50</v>
      </c>
      <c r="O29" s="7" t="e">
        <f t="shared" si="3"/>
        <v>#DIV/0!</v>
      </c>
    </row>
    <row r="30" spans="1:15" ht="16.5" x14ac:dyDescent="0.45">
      <c r="A30" s="15" t="s">
        <v>26</v>
      </c>
      <c r="B30" s="17"/>
      <c r="C30" s="17">
        <v>3</v>
      </c>
      <c r="D30" s="11">
        <v>499</v>
      </c>
      <c r="E30" s="9">
        <v>57</v>
      </c>
      <c r="F30" s="10">
        <f t="shared" si="0"/>
        <v>11.422845691382765</v>
      </c>
      <c r="G30" s="11">
        <v>499</v>
      </c>
      <c r="H30" s="9">
        <v>58</v>
      </c>
      <c r="I30" s="12">
        <f t="shared" si="1"/>
        <v>11.623246492985972</v>
      </c>
      <c r="J30" s="9">
        <v>560</v>
      </c>
      <c r="K30" s="9">
        <v>74</v>
      </c>
      <c r="L30" s="10">
        <f t="shared" si="2"/>
        <v>13.214285714285715</v>
      </c>
      <c r="M30" s="9"/>
      <c r="N30" s="9">
        <v>130</v>
      </c>
      <c r="O30" s="7" t="e">
        <f t="shared" si="3"/>
        <v>#DIV/0!</v>
      </c>
    </row>
    <row r="31" spans="1:15" ht="16.5" x14ac:dyDescent="0.45">
      <c r="A31" s="15" t="s">
        <v>27</v>
      </c>
      <c r="B31" s="17"/>
      <c r="C31" s="17">
        <v>0</v>
      </c>
      <c r="D31" s="11">
        <v>54</v>
      </c>
      <c r="E31" s="9">
        <v>7</v>
      </c>
      <c r="F31" s="10">
        <f t="shared" si="0"/>
        <v>12.962962962962962</v>
      </c>
      <c r="G31" s="11">
        <v>54</v>
      </c>
      <c r="H31" s="9">
        <v>20</v>
      </c>
      <c r="I31" s="12">
        <f t="shared" si="1"/>
        <v>37.037037037037038</v>
      </c>
      <c r="J31" s="9">
        <v>51</v>
      </c>
      <c r="K31" s="9">
        <v>26</v>
      </c>
      <c r="L31" s="10">
        <f t="shared" si="2"/>
        <v>50.980392156862742</v>
      </c>
      <c r="M31" s="9"/>
      <c r="N31" s="9">
        <v>10</v>
      </c>
      <c r="O31" s="7" t="e">
        <f t="shared" si="3"/>
        <v>#DIV/0!</v>
      </c>
    </row>
    <row r="32" spans="1:15" ht="16.5" x14ac:dyDescent="0.45">
      <c r="A32" s="15" t="s">
        <v>28</v>
      </c>
      <c r="B32" s="17"/>
      <c r="C32" s="17">
        <v>0</v>
      </c>
      <c r="D32" s="11">
        <v>137</v>
      </c>
      <c r="E32" s="9">
        <v>19</v>
      </c>
      <c r="F32" s="10">
        <f t="shared" si="0"/>
        <v>13.868613138686131</v>
      </c>
      <c r="G32" s="11">
        <v>137</v>
      </c>
      <c r="H32" s="9">
        <v>18</v>
      </c>
      <c r="I32" s="12">
        <f t="shared" si="1"/>
        <v>13.138686131386862</v>
      </c>
      <c r="J32" s="9">
        <v>184</v>
      </c>
      <c r="K32" s="9">
        <v>14</v>
      </c>
      <c r="L32" s="10">
        <f t="shared" si="2"/>
        <v>7.608695652173914</v>
      </c>
      <c r="M32" s="9"/>
      <c r="N32" s="9">
        <v>0</v>
      </c>
      <c r="O32" s="7" t="e">
        <f t="shared" si="3"/>
        <v>#DIV/0!</v>
      </c>
    </row>
    <row r="33" spans="1:15" ht="16.5" x14ac:dyDescent="0.45">
      <c r="A33" s="15" t="s">
        <v>29</v>
      </c>
      <c r="B33" s="17"/>
      <c r="C33" s="17">
        <v>0</v>
      </c>
      <c r="D33" s="11">
        <v>443</v>
      </c>
      <c r="E33" s="9">
        <v>175</v>
      </c>
      <c r="F33" s="10">
        <f t="shared" si="0"/>
        <v>39.503386004514674</v>
      </c>
      <c r="G33" s="11">
        <v>443</v>
      </c>
      <c r="H33" s="9">
        <v>198</v>
      </c>
      <c r="I33" s="12">
        <f t="shared" si="1"/>
        <v>44.695259593679459</v>
      </c>
      <c r="J33" s="9">
        <v>425</v>
      </c>
      <c r="K33" s="9">
        <v>167</v>
      </c>
      <c r="L33" s="10">
        <f t="shared" si="2"/>
        <v>39.294117647058826</v>
      </c>
      <c r="M33" s="9"/>
      <c r="N33" s="9">
        <v>606</v>
      </c>
      <c r="O33" s="7" t="e">
        <f t="shared" si="3"/>
        <v>#DIV/0!</v>
      </c>
    </row>
    <row r="34" spans="1:15" ht="16.5" x14ac:dyDescent="0.45">
      <c r="A34" s="15" t="s">
        <v>30</v>
      </c>
      <c r="B34" s="17"/>
      <c r="C34" s="17">
        <v>0</v>
      </c>
      <c r="D34" s="11">
        <v>99</v>
      </c>
      <c r="E34" s="9">
        <v>13</v>
      </c>
      <c r="F34" s="10">
        <f t="shared" si="0"/>
        <v>13.131313131313133</v>
      </c>
      <c r="G34" s="11">
        <v>99</v>
      </c>
      <c r="H34" s="9">
        <v>12</v>
      </c>
      <c r="I34" s="12">
        <f t="shared" si="1"/>
        <v>12.121212121212121</v>
      </c>
      <c r="J34" s="9">
        <v>95</v>
      </c>
      <c r="K34" s="9">
        <v>4</v>
      </c>
      <c r="L34" s="10">
        <f t="shared" si="2"/>
        <v>4.2105263157894735</v>
      </c>
      <c r="M34" s="9"/>
      <c r="N34" s="9">
        <v>1</v>
      </c>
      <c r="O34" s="7" t="e">
        <f t="shared" si="3"/>
        <v>#DIV/0!</v>
      </c>
    </row>
    <row r="35" spans="1:15" ht="43.5" x14ac:dyDescent="0.45">
      <c r="A35" s="15" t="s">
        <v>31</v>
      </c>
      <c r="B35" s="17"/>
      <c r="C35" s="17">
        <v>3</v>
      </c>
      <c r="D35" s="11">
        <v>1467</v>
      </c>
      <c r="E35" s="9">
        <v>128</v>
      </c>
      <c r="F35" s="10">
        <f t="shared" si="0"/>
        <v>8.7252897068847997</v>
      </c>
      <c r="G35" s="11">
        <v>1467</v>
      </c>
      <c r="H35" s="9">
        <v>201</v>
      </c>
      <c r="I35" s="12">
        <f t="shared" si="1"/>
        <v>13.701431492842536</v>
      </c>
      <c r="J35" s="9">
        <v>1144</v>
      </c>
      <c r="K35" s="9">
        <v>112</v>
      </c>
      <c r="L35" s="10">
        <f t="shared" si="2"/>
        <v>9.79020979020979</v>
      </c>
      <c r="M35" s="9"/>
      <c r="N35" s="9">
        <v>160</v>
      </c>
      <c r="O35" s="7" t="e">
        <f t="shared" si="3"/>
        <v>#DIV/0!</v>
      </c>
    </row>
    <row r="36" spans="1:15" ht="29" x14ac:dyDescent="0.45">
      <c r="A36" s="15" t="s">
        <v>32</v>
      </c>
      <c r="B36" s="17"/>
      <c r="C36" s="17">
        <v>0</v>
      </c>
      <c r="D36" s="11">
        <v>30</v>
      </c>
      <c r="E36" s="9">
        <v>23</v>
      </c>
      <c r="F36" s="10">
        <f t="shared" si="0"/>
        <v>76.666666666666671</v>
      </c>
      <c r="G36" s="11">
        <v>30</v>
      </c>
      <c r="H36" s="9">
        <v>26</v>
      </c>
      <c r="I36" s="12">
        <f t="shared" si="1"/>
        <v>86.666666666666671</v>
      </c>
      <c r="J36" s="9">
        <v>50</v>
      </c>
      <c r="K36" s="9">
        <v>39</v>
      </c>
      <c r="L36" s="10">
        <f t="shared" si="2"/>
        <v>78</v>
      </c>
      <c r="M36" s="9"/>
      <c r="N36" s="9">
        <v>1</v>
      </c>
      <c r="O36" s="7" t="e">
        <f t="shared" si="3"/>
        <v>#DIV/0!</v>
      </c>
    </row>
    <row r="37" spans="1:15" ht="16.5" x14ac:dyDescent="0.45">
      <c r="A37" s="15" t="s">
        <v>33</v>
      </c>
      <c r="B37" s="17"/>
      <c r="C37" s="17">
        <v>0</v>
      </c>
      <c r="D37" s="11">
        <v>112</v>
      </c>
      <c r="E37" s="9">
        <v>19</v>
      </c>
      <c r="F37" s="10">
        <f t="shared" si="0"/>
        <v>16.964285714285715</v>
      </c>
      <c r="G37" s="11">
        <v>112</v>
      </c>
      <c r="H37" s="9">
        <v>13</v>
      </c>
      <c r="I37" s="12">
        <f t="shared" si="1"/>
        <v>11.607142857142858</v>
      </c>
      <c r="J37" s="9">
        <v>133</v>
      </c>
      <c r="K37" s="9">
        <v>28</v>
      </c>
      <c r="L37" s="10">
        <f t="shared" si="2"/>
        <v>21.052631578947366</v>
      </c>
      <c r="M37" s="9"/>
      <c r="N37" s="9">
        <v>0</v>
      </c>
      <c r="O37" s="7" t="e">
        <f t="shared" si="3"/>
        <v>#DIV/0!</v>
      </c>
    </row>
    <row r="38" spans="1:15" ht="29" x14ac:dyDescent="0.45">
      <c r="A38" s="16" t="s">
        <v>34</v>
      </c>
      <c r="B38" s="17"/>
      <c r="C38" s="17">
        <v>0</v>
      </c>
      <c r="D38" s="11">
        <v>61</v>
      </c>
      <c r="E38" s="9">
        <v>6</v>
      </c>
      <c r="F38" s="10">
        <f t="shared" si="0"/>
        <v>9.8360655737704921</v>
      </c>
      <c r="G38" s="11">
        <v>61</v>
      </c>
      <c r="H38" s="9">
        <v>8</v>
      </c>
      <c r="I38" s="12">
        <f t="shared" si="1"/>
        <v>13.114754098360656</v>
      </c>
      <c r="J38" s="9">
        <v>105</v>
      </c>
      <c r="K38" s="9">
        <v>10</v>
      </c>
      <c r="L38" s="10">
        <f t="shared" si="2"/>
        <v>9.5238095238095237</v>
      </c>
      <c r="M38" s="9"/>
      <c r="N38" s="9">
        <v>46</v>
      </c>
      <c r="O38" s="7" t="e">
        <f t="shared" si="3"/>
        <v>#DIV/0!</v>
      </c>
    </row>
    <row r="39" spans="1:15" ht="16.5" x14ac:dyDescent="0.45">
      <c r="A39" s="16" t="s">
        <v>35</v>
      </c>
      <c r="B39" s="17"/>
      <c r="C39" s="17">
        <v>0</v>
      </c>
      <c r="D39" s="11">
        <v>117</v>
      </c>
      <c r="E39" s="9">
        <v>10</v>
      </c>
      <c r="F39" s="10">
        <f t="shared" si="0"/>
        <v>8.5470085470085468</v>
      </c>
      <c r="G39" s="11">
        <v>117</v>
      </c>
      <c r="H39" s="9">
        <v>16</v>
      </c>
      <c r="I39" s="12">
        <f t="shared" si="1"/>
        <v>13.675213675213676</v>
      </c>
      <c r="J39" s="9">
        <v>64</v>
      </c>
      <c r="K39" s="9">
        <v>24</v>
      </c>
      <c r="L39" s="10">
        <f t="shared" si="2"/>
        <v>37.5</v>
      </c>
      <c r="M39" s="9"/>
      <c r="N39" s="9">
        <v>70</v>
      </c>
      <c r="O39" s="7" t="e">
        <f t="shared" si="3"/>
        <v>#DIV/0!</v>
      </c>
    </row>
    <row r="40" spans="1:15" ht="16.5" x14ac:dyDescent="0.45">
      <c r="A40" s="16" t="s">
        <v>36</v>
      </c>
      <c r="B40" s="17"/>
      <c r="C40" s="17">
        <v>0</v>
      </c>
      <c r="D40" s="11">
        <v>62</v>
      </c>
      <c r="E40" s="9">
        <v>4</v>
      </c>
      <c r="F40" s="10">
        <f t="shared" si="0"/>
        <v>6.4516129032258061</v>
      </c>
      <c r="G40" s="11">
        <v>62</v>
      </c>
      <c r="H40" s="9">
        <v>11</v>
      </c>
      <c r="I40" s="12">
        <f t="shared" si="1"/>
        <v>17.741935483870968</v>
      </c>
      <c r="J40" s="9">
        <v>69</v>
      </c>
      <c r="K40" s="9">
        <v>11</v>
      </c>
      <c r="L40" s="10">
        <f t="shared" si="2"/>
        <v>15.942028985507244</v>
      </c>
      <c r="M40" s="9"/>
      <c r="N40" s="9">
        <v>64</v>
      </c>
      <c r="O40" s="7" t="e">
        <f t="shared" si="3"/>
        <v>#DIV/0!</v>
      </c>
    </row>
    <row r="41" spans="1:15" ht="16.5" x14ac:dyDescent="0.45">
      <c r="A41" s="16" t="s">
        <v>37</v>
      </c>
      <c r="B41" s="17"/>
      <c r="C41" s="17">
        <v>0</v>
      </c>
      <c r="D41" s="11">
        <v>62</v>
      </c>
      <c r="E41" s="9">
        <v>7</v>
      </c>
      <c r="F41" s="10">
        <f t="shared" si="0"/>
        <v>11.29032258064516</v>
      </c>
      <c r="G41" s="11">
        <v>62</v>
      </c>
      <c r="H41" s="9">
        <v>4</v>
      </c>
      <c r="I41" s="12">
        <f t="shared" si="1"/>
        <v>6.4516129032258061</v>
      </c>
      <c r="J41" s="9">
        <v>75</v>
      </c>
      <c r="K41" s="9">
        <v>13</v>
      </c>
      <c r="L41" s="10">
        <f t="shared" si="2"/>
        <v>17.333333333333336</v>
      </c>
      <c r="M41" s="9"/>
      <c r="N41" s="9">
        <v>55</v>
      </c>
      <c r="O41" s="7" t="e">
        <f t="shared" si="3"/>
        <v>#DIV/0!</v>
      </c>
    </row>
    <row r="42" spans="1:15" ht="16.5" x14ac:dyDescent="0.45">
      <c r="A42" s="16" t="s">
        <v>38</v>
      </c>
      <c r="B42" s="17"/>
      <c r="C42" s="17">
        <v>0</v>
      </c>
      <c r="D42" s="11">
        <v>130</v>
      </c>
      <c r="E42" s="9">
        <v>15</v>
      </c>
      <c r="F42" s="10">
        <f t="shared" si="0"/>
        <v>11.538461538461538</v>
      </c>
      <c r="G42" s="11">
        <v>130</v>
      </c>
      <c r="H42" s="9">
        <v>11</v>
      </c>
      <c r="I42" s="12">
        <f t="shared" si="1"/>
        <v>8.4615384615384617</v>
      </c>
      <c r="J42" s="9">
        <v>123</v>
      </c>
      <c r="K42" s="9">
        <v>39</v>
      </c>
      <c r="L42" s="10">
        <f t="shared" si="2"/>
        <v>31.707317073170731</v>
      </c>
      <c r="M42" s="9"/>
      <c r="N42" s="9">
        <v>148</v>
      </c>
      <c r="O42" s="7" t="e">
        <f t="shared" si="3"/>
        <v>#DIV/0!</v>
      </c>
    </row>
    <row r="43" spans="1:15" ht="16.5" x14ac:dyDescent="0.45">
      <c r="A43" s="16" t="s">
        <v>39</v>
      </c>
      <c r="B43" s="17"/>
      <c r="C43" s="17">
        <v>0</v>
      </c>
      <c r="D43" s="11">
        <v>259</v>
      </c>
      <c r="E43" s="9">
        <v>40</v>
      </c>
      <c r="F43" s="10">
        <f t="shared" si="0"/>
        <v>15.444015444015443</v>
      </c>
      <c r="G43" s="11">
        <v>259</v>
      </c>
      <c r="H43" s="9">
        <v>28</v>
      </c>
      <c r="I43" s="12">
        <f t="shared" si="1"/>
        <v>10.810810810810811</v>
      </c>
      <c r="J43" s="9">
        <v>208</v>
      </c>
      <c r="K43" s="9">
        <v>25</v>
      </c>
      <c r="L43" s="10">
        <f t="shared" si="2"/>
        <v>12.01923076923077</v>
      </c>
      <c r="M43" s="9"/>
      <c r="N43" s="9">
        <v>184</v>
      </c>
      <c r="O43" s="7" t="e">
        <f t="shared" si="3"/>
        <v>#DIV/0!</v>
      </c>
    </row>
    <row r="44" spans="1:15" ht="29" x14ac:dyDescent="0.45">
      <c r="A44" s="16" t="s">
        <v>40</v>
      </c>
      <c r="B44" s="17"/>
      <c r="C44" s="17">
        <v>0</v>
      </c>
      <c r="D44" s="11">
        <v>36</v>
      </c>
      <c r="E44" s="9">
        <v>2</v>
      </c>
      <c r="F44" s="10">
        <f t="shared" si="0"/>
        <v>5.5555555555555554</v>
      </c>
      <c r="G44" s="11">
        <v>36</v>
      </c>
      <c r="H44" s="9">
        <v>3</v>
      </c>
      <c r="I44" s="12">
        <f t="shared" si="1"/>
        <v>8.3333333333333321</v>
      </c>
      <c r="J44" s="9">
        <v>36</v>
      </c>
      <c r="K44" s="9">
        <v>9</v>
      </c>
      <c r="L44" s="10">
        <f t="shared" si="2"/>
        <v>25</v>
      </c>
      <c r="M44" s="9"/>
      <c r="N44" s="9">
        <v>0</v>
      </c>
      <c r="O44" s="7" t="e">
        <f t="shared" si="3"/>
        <v>#DIV/0!</v>
      </c>
    </row>
    <row r="45" spans="1:15" ht="29" x14ac:dyDescent="0.45">
      <c r="A45" s="16" t="s">
        <v>41</v>
      </c>
      <c r="B45" s="17"/>
      <c r="C45" s="17">
        <v>4</v>
      </c>
      <c r="D45" s="11">
        <v>129</v>
      </c>
      <c r="E45" s="9">
        <v>14</v>
      </c>
      <c r="F45" s="10">
        <f t="shared" si="0"/>
        <v>10.852713178294573</v>
      </c>
      <c r="G45" s="11">
        <v>129</v>
      </c>
      <c r="H45" s="9">
        <v>28</v>
      </c>
      <c r="I45" s="12">
        <f t="shared" si="1"/>
        <v>21.705426356589147</v>
      </c>
      <c r="J45" s="9">
        <v>153</v>
      </c>
      <c r="K45" s="9">
        <v>22</v>
      </c>
      <c r="L45" s="10">
        <f t="shared" si="2"/>
        <v>14.37908496732026</v>
      </c>
      <c r="M45" s="9"/>
      <c r="N45" s="9">
        <v>263</v>
      </c>
      <c r="O45" s="7" t="e">
        <f t="shared" si="3"/>
        <v>#DIV/0!</v>
      </c>
    </row>
    <row r="46" spans="1:15" x14ac:dyDescent="0.35">
      <c r="A46" s="40" t="s">
        <v>50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x14ac:dyDescent="0.35">
      <c r="A47" s="34" t="s">
        <v>51</v>
      </c>
      <c r="B47" s="34"/>
      <c r="C47" s="34"/>
      <c r="D47" s="34"/>
      <c r="E47" s="34"/>
    </row>
    <row r="48" spans="1:15" x14ac:dyDescent="0.35">
      <c r="A48" s="35" t="s">
        <v>52</v>
      </c>
      <c r="B48" s="35"/>
      <c r="C48" s="35"/>
      <c r="D48" s="35"/>
      <c r="E48" s="35"/>
    </row>
  </sheetData>
  <mergeCells count="8">
    <mergeCell ref="A46:L46"/>
    <mergeCell ref="A47:E47"/>
    <mergeCell ref="A48:E48"/>
    <mergeCell ref="A1:O1"/>
    <mergeCell ref="A2:O3"/>
    <mergeCell ref="A4:O4"/>
    <mergeCell ref="A5:L5"/>
    <mergeCell ref="M5:O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8"/>
  <sheetViews>
    <sheetView topLeftCell="A22" workbookViewId="0">
      <selection activeCell="M36" sqref="M36"/>
    </sheetView>
  </sheetViews>
  <sheetFormatPr baseColWidth="10" defaultRowHeight="14.5" x14ac:dyDescent="0.35"/>
  <sheetData>
    <row r="1" spans="1:15" ht="23.5" x14ac:dyDescent="0.55000000000000004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4.25" customHeight="1" x14ac:dyDescent="0.35">
      <c r="A2" s="37" t="s">
        <v>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4.2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8.75" customHeight="1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ht="15" customHeight="1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2" t="s">
        <v>49</v>
      </c>
      <c r="N5" s="42"/>
      <c r="O5" s="42"/>
    </row>
    <row r="6" spans="1:15" ht="43.5" x14ac:dyDescent="0.35">
      <c r="A6" s="5" t="s">
        <v>2</v>
      </c>
      <c r="B6" s="5" t="s">
        <v>42</v>
      </c>
      <c r="C6" s="6" t="s">
        <v>54</v>
      </c>
      <c r="D6" s="5" t="s">
        <v>42</v>
      </c>
      <c r="E6" s="6" t="s">
        <v>45</v>
      </c>
      <c r="F6" s="6" t="s">
        <v>44</v>
      </c>
      <c r="G6" s="5" t="s">
        <v>42</v>
      </c>
      <c r="H6" s="6" t="s">
        <v>46</v>
      </c>
      <c r="I6" s="6" t="s">
        <v>44</v>
      </c>
      <c r="J6" s="5" t="s">
        <v>42</v>
      </c>
      <c r="K6" s="6" t="s">
        <v>43</v>
      </c>
      <c r="L6" s="5" t="s">
        <v>44</v>
      </c>
      <c r="M6" s="5" t="s">
        <v>42</v>
      </c>
      <c r="N6" s="6" t="s">
        <v>48</v>
      </c>
      <c r="O6" s="5" t="s">
        <v>44</v>
      </c>
    </row>
    <row r="7" spans="1:15" ht="16.5" x14ac:dyDescent="0.45">
      <c r="A7" s="13" t="s">
        <v>3</v>
      </c>
      <c r="B7" s="17"/>
      <c r="C7" s="18">
        <v>372</v>
      </c>
      <c r="D7" s="11">
        <v>8431</v>
      </c>
      <c r="E7" s="7">
        <v>1254</v>
      </c>
      <c r="F7" s="10">
        <f t="shared" ref="F7:F45" si="0">SUM(E7/D7*100)</f>
        <v>14.873680464950779</v>
      </c>
      <c r="G7" s="11">
        <v>8431</v>
      </c>
      <c r="H7" s="8">
        <v>1042</v>
      </c>
      <c r="I7" s="12">
        <f>SUM(H7/G7*100)</f>
        <v>12.359150753172814</v>
      </c>
      <c r="J7" s="8">
        <v>10719</v>
      </c>
      <c r="K7" s="8">
        <v>1372</v>
      </c>
      <c r="L7" s="10">
        <f>SUM(K7/J7*100)</f>
        <v>12.799701464688869</v>
      </c>
      <c r="M7" s="8"/>
      <c r="N7" s="8">
        <v>5298</v>
      </c>
      <c r="O7" s="7" t="e">
        <f>SUM(N7/M7*100)</f>
        <v>#DIV/0!</v>
      </c>
    </row>
    <row r="8" spans="1:15" ht="29" x14ac:dyDescent="0.45">
      <c r="A8" s="13" t="s">
        <v>4</v>
      </c>
      <c r="B8" s="17"/>
      <c r="C8" s="17">
        <v>21</v>
      </c>
      <c r="D8" s="11">
        <v>576</v>
      </c>
      <c r="E8" s="9">
        <v>74</v>
      </c>
      <c r="F8" s="10">
        <f t="shared" si="0"/>
        <v>12.847222222222221</v>
      </c>
      <c r="G8" s="11">
        <v>576</v>
      </c>
      <c r="H8" s="9">
        <v>62</v>
      </c>
      <c r="I8" s="12">
        <f t="shared" ref="I8:I45" si="1">SUM(H8/G8*100)</f>
        <v>10.763888888888889</v>
      </c>
      <c r="J8" s="9">
        <v>657</v>
      </c>
      <c r="K8" s="9">
        <v>131</v>
      </c>
      <c r="L8" s="10">
        <f t="shared" ref="L8:L45" si="2">SUM(K8/J8*100)</f>
        <v>19.93911719939117</v>
      </c>
      <c r="M8" s="9"/>
      <c r="N8" s="9">
        <v>249</v>
      </c>
      <c r="O8" s="7" t="e">
        <f t="shared" ref="O8:O45" si="3">SUM(N8/M8*100)</f>
        <v>#DIV/0!</v>
      </c>
    </row>
    <row r="9" spans="1:15" ht="16.5" x14ac:dyDescent="0.45">
      <c r="A9" s="13" t="s">
        <v>5</v>
      </c>
      <c r="B9" s="17"/>
      <c r="C9" s="17">
        <v>52</v>
      </c>
      <c r="D9" s="11">
        <v>1425</v>
      </c>
      <c r="E9" s="9">
        <v>141</v>
      </c>
      <c r="F9" s="10">
        <f t="shared" si="0"/>
        <v>9.8947368421052637</v>
      </c>
      <c r="G9" s="11">
        <v>1425</v>
      </c>
      <c r="H9" s="9">
        <v>121</v>
      </c>
      <c r="I9" s="12">
        <f t="shared" si="1"/>
        <v>8.4912280701754383</v>
      </c>
      <c r="J9" s="9">
        <v>1082</v>
      </c>
      <c r="K9" s="9">
        <v>136</v>
      </c>
      <c r="L9" s="10">
        <f t="shared" si="2"/>
        <v>12.56931608133087</v>
      </c>
      <c r="M9" s="9"/>
      <c r="N9" s="9">
        <v>146</v>
      </c>
      <c r="O9" s="7" t="e">
        <f t="shared" si="3"/>
        <v>#DIV/0!</v>
      </c>
    </row>
    <row r="10" spans="1:15" ht="29" x14ac:dyDescent="0.45">
      <c r="A10" s="13" t="s">
        <v>6</v>
      </c>
      <c r="B10" s="17"/>
      <c r="C10" s="17">
        <v>6</v>
      </c>
      <c r="D10" s="11">
        <v>488</v>
      </c>
      <c r="E10" s="9">
        <v>44</v>
      </c>
      <c r="F10" s="10">
        <f t="shared" si="0"/>
        <v>9.0163934426229506</v>
      </c>
      <c r="G10" s="11">
        <v>488</v>
      </c>
      <c r="H10" s="9">
        <v>58</v>
      </c>
      <c r="I10" s="12">
        <f t="shared" si="1"/>
        <v>11.885245901639344</v>
      </c>
      <c r="J10" s="9">
        <v>514</v>
      </c>
      <c r="K10" s="9">
        <v>84</v>
      </c>
      <c r="L10" s="10">
        <f t="shared" si="2"/>
        <v>16.342412451361866</v>
      </c>
      <c r="M10" s="9"/>
      <c r="N10" s="9">
        <v>87</v>
      </c>
      <c r="O10" s="7" t="e">
        <f t="shared" si="3"/>
        <v>#DIV/0!</v>
      </c>
    </row>
    <row r="11" spans="1:15" ht="29" x14ac:dyDescent="0.45">
      <c r="A11" s="13" t="s">
        <v>7</v>
      </c>
      <c r="B11" s="17"/>
      <c r="C11" s="17">
        <v>21</v>
      </c>
      <c r="D11" s="11">
        <v>224</v>
      </c>
      <c r="E11" s="9">
        <v>15</v>
      </c>
      <c r="F11" s="10">
        <f t="shared" si="0"/>
        <v>6.6964285714285712</v>
      </c>
      <c r="G11" s="11">
        <v>224</v>
      </c>
      <c r="H11" s="9">
        <v>46</v>
      </c>
      <c r="I11" s="12">
        <f t="shared" si="1"/>
        <v>20.535714285714285</v>
      </c>
      <c r="J11" s="9">
        <v>243</v>
      </c>
      <c r="K11" s="9">
        <v>91</v>
      </c>
      <c r="L11" s="10">
        <f t="shared" si="2"/>
        <v>37.448559670781897</v>
      </c>
      <c r="M11" s="9"/>
      <c r="N11" s="9">
        <v>111</v>
      </c>
      <c r="O11" s="7" t="e">
        <f t="shared" si="3"/>
        <v>#DIV/0!</v>
      </c>
    </row>
    <row r="12" spans="1:15" ht="16.5" x14ac:dyDescent="0.45">
      <c r="A12" s="13" t="s">
        <v>8</v>
      </c>
      <c r="B12" s="17"/>
      <c r="C12" s="17">
        <v>9</v>
      </c>
      <c r="D12" s="11">
        <v>135</v>
      </c>
      <c r="E12" s="9">
        <v>32</v>
      </c>
      <c r="F12" s="10">
        <f t="shared" si="0"/>
        <v>23.703703703703706</v>
      </c>
      <c r="G12" s="11">
        <v>135</v>
      </c>
      <c r="H12" s="9">
        <v>28</v>
      </c>
      <c r="I12" s="12">
        <f t="shared" si="1"/>
        <v>20.74074074074074</v>
      </c>
      <c r="J12" s="9">
        <v>190</v>
      </c>
      <c r="K12" s="9">
        <v>50</v>
      </c>
      <c r="L12" s="10">
        <f t="shared" si="2"/>
        <v>26.315789473684209</v>
      </c>
      <c r="M12" s="9"/>
      <c r="N12" s="9">
        <v>120</v>
      </c>
      <c r="O12" s="7" t="e">
        <f t="shared" si="3"/>
        <v>#DIV/0!</v>
      </c>
    </row>
    <row r="13" spans="1:15" ht="29" x14ac:dyDescent="0.45">
      <c r="A13" s="13" t="s">
        <v>9</v>
      </c>
      <c r="B13" s="17"/>
      <c r="C13" s="17">
        <v>57</v>
      </c>
      <c r="D13" s="11">
        <v>1283</v>
      </c>
      <c r="E13" s="9">
        <v>110</v>
      </c>
      <c r="F13" s="10">
        <f t="shared" si="0"/>
        <v>8.5736554949337496</v>
      </c>
      <c r="G13" s="11">
        <v>1283</v>
      </c>
      <c r="H13" s="9">
        <v>112</v>
      </c>
      <c r="I13" s="12">
        <f t="shared" si="1"/>
        <v>8.7295401402961819</v>
      </c>
      <c r="J13" s="9">
        <v>1399</v>
      </c>
      <c r="K13" s="9">
        <v>123</v>
      </c>
      <c r="L13" s="10">
        <f t="shared" si="2"/>
        <v>8.7919942816297354</v>
      </c>
      <c r="M13" s="9"/>
      <c r="N13" s="9">
        <v>46</v>
      </c>
      <c r="O13" s="7" t="e">
        <f t="shared" si="3"/>
        <v>#DIV/0!</v>
      </c>
    </row>
    <row r="14" spans="1:15" ht="16.5" x14ac:dyDescent="0.45">
      <c r="A14" s="13" t="s">
        <v>10</v>
      </c>
      <c r="B14" s="17"/>
      <c r="C14" s="17">
        <v>6</v>
      </c>
      <c r="D14" s="11">
        <v>581</v>
      </c>
      <c r="E14" s="9">
        <v>66</v>
      </c>
      <c r="F14" s="10">
        <f t="shared" si="0"/>
        <v>11.359724612736661</v>
      </c>
      <c r="G14" s="11">
        <v>581</v>
      </c>
      <c r="H14" s="9">
        <v>72</v>
      </c>
      <c r="I14" s="12">
        <f t="shared" si="1"/>
        <v>12.392426850258175</v>
      </c>
      <c r="J14" s="9">
        <v>608</v>
      </c>
      <c r="K14" s="9">
        <v>64</v>
      </c>
      <c r="L14" s="10">
        <f t="shared" si="2"/>
        <v>10.526315789473683</v>
      </c>
      <c r="M14" s="9"/>
      <c r="N14" s="9">
        <v>480</v>
      </c>
      <c r="O14" s="7" t="e">
        <f t="shared" si="3"/>
        <v>#DIV/0!</v>
      </c>
    </row>
    <row r="15" spans="1:15" ht="16.5" x14ac:dyDescent="0.45">
      <c r="A15" s="13" t="s">
        <v>11</v>
      </c>
      <c r="B15" s="17"/>
      <c r="C15" s="17">
        <v>19</v>
      </c>
      <c r="D15" s="11">
        <v>166</v>
      </c>
      <c r="E15" s="9">
        <v>10</v>
      </c>
      <c r="F15" s="10">
        <f t="shared" si="0"/>
        <v>6.024096385542169</v>
      </c>
      <c r="G15" s="11">
        <v>166</v>
      </c>
      <c r="H15" s="9">
        <v>27</v>
      </c>
      <c r="I15" s="12">
        <f t="shared" si="1"/>
        <v>16.265060240963855</v>
      </c>
      <c r="J15" s="9">
        <v>177</v>
      </c>
      <c r="K15" s="9">
        <v>39</v>
      </c>
      <c r="L15" s="10">
        <f t="shared" si="2"/>
        <v>22.033898305084744</v>
      </c>
      <c r="M15" s="9"/>
      <c r="N15" s="9">
        <v>81</v>
      </c>
      <c r="O15" s="7" t="e">
        <f t="shared" si="3"/>
        <v>#DIV/0!</v>
      </c>
    </row>
    <row r="16" spans="1:15" ht="16.5" x14ac:dyDescent="0.45">
      <c r="A16" s="13" t="s">
        <v>12</v>
      </c>
      <c r="B16" s="17"/>
      <c r="C16" s="17">
        <v>34</v>
      </c>
      <c r="D16" s="11">
        <v>952</v>
      </c>
      <c r="E16" s="9">
        <v>58</v>
      </c>
      <c r="F16" s="10">
        <f t="shared" si="0"/>
        <v>6.0924369747899156</v>
      </c>
      <c r="G16" s="11">
        <v>952</v>
      </c>
      <c r="H16" s="9">
        <v>55</v>
      </c>
      <c r="I16" s="12">
        <f t="shared" si="1"/>
        <v>5.7773109243697478</v>
      </c>
      <c r="J16" s="9">
        <v>851</v>
      </c>
      <c r="K16" s="9">
        <v>118</v>
      </c>
      <c r="L16" s="10">
        <f t="shared" si="2"/>
        <v>13.866039952996475</v>
      </c>
      <c r="M16" s="9"/>
      <c r="N16" s="9">
        <v>97</v>
      </c>
      <c r="O16" s="7" t="e">
        <f t="shared" si="3"/>
        <v>#DIV/0!</v>
      </c>
    </row>
    <row r="17" spans="1:15" ht="29" x14ac:dyDescent="0.45">
      <c r="A17" s="13" t="s">
        <v>13</v>
      </c>
      <c r="B17" s="17"/>
      <c r="C17" s="17">
        <v>8</v>
      </c>
      <c r="D17" s="11">
        <v>403</v>
      </c>
      <c r="E17" s="9">
        <v>114</v>
      </c>
      <c r="F17" s="10">
        <f t="shared" si="0"/>
        <v>28.287841191066999</v>
      </c>
      <c r="G17" s="11">
        <v>403</v>
      </c>
      <c r="H17" s="9">
        <v>74</v>
      </c>
      <c r="I17" s="12">
        <f t="shared" si="1"/>
        <v>18.362282878411911</v>
      </c>
      <c r="J17" s="9">
        <v>254</v>
      </c>
      <c r="K17" s="9">
        <v>94</v>
      </c>
      <c r="L17" s="10">
        <f t="shared" si="2"/>
        <v>37.00787401574803</v>
      </c>
      <c r="M17" s="9"/>
      <c r="N17" s="9">
        <v>234</v>
      </c>
      <c r="O17" s="7" t="e">
        <f t="shared" si="3"/>
        <v>#DIV/0!</v>
      </c>
    </row>
    <row r="18" spans="1:15" ht="16.5" x14ac:dyDescent="0.45">
      <c r="A18" s="14" t="s">
        <v>14</v>
      </c>
      <c r="B18" s="17"/>
      <c r="C18" s="17">
        <v>1</v>
      </c>
      <c r="D18" s="11">
        <v>643</v>
      </c>
      <c r="E18" s="9">
        <v>113</v>
      </c>
      <c r="F18" s="10">
        <f t="shared" si="0"/>
        <v>17.573872472783826</v>
      </c>
      <c r="G18" s="11">
        <v>643</v>
      </c>
      <c r="H18" s="9">
        <v>71</v>
      </c>
      <c r="I18" s="12">
        <f t="shared" si="1"/>
        <v>11.041990668740279</v>
      </c>
      <c r="J18" s="9">
        <v>843</v>
      </c>
      <c r="K18" s="9">
        <v>91</v>
      </c>
      <c r="L18" s="10">
        <f t="shared" si="2"/>
        <v>10.794780545670225</v>
      </c>
      <c r="M18" s="9"/>
      <c r="N18" s="9">
        <v>211</v>
      </c>
      <c r="O18" s="7" t="e">
        <f t="shared" si="3"/>
        <v>#DIV/0!</v>
      </c>
    </row>
    <row r="19" spans="1:15" ht="43.5" x14ac:dyDescent="0.45">
      <c r="A19" s="14" t="s">
        <v>15</v>
      </c>
      <c r="B19" s="17"/>
      <c r="C19" s="17">
        <v>0</v>
      </c>
      <c r="D19" s="11">
        <v>236</v>
      </c>
      <c r="E19" s="9">
        <v>25</v>
      </c>
      <c r="F19" s="10">
        <f t="shared" si="0"/>
        <v>10.59322033898305</v>
      </c>
      <c r="G19" s="11">
        <v>236</v>
      </c>
      <c r="H19" s="9">
        <v>27</v>
      </c>
      <c r="I19" s="12">
        <f t="shared" si="1"/>
        <v>11.440677966101696</v>
      </c>
      <c r="J19" s="9">
        <v>231</v>
      </c>
      <c r="K19" s="9">
        <v>29</v>
      </c>
      <c r="L19" s="10">
        <f t="shared" si="2"/>
        <v>12.554112554112553</v>
      </c>
      <c r="M19" s="9"/>
      <c r="N19" s="9">
        <v>53</v>
      </c>
      <c r="O19" s="7" t="e">
        <f t="shared" si="3"/>
        <v>#DIV/0!</v>
      </c>
    </row>
    <row r="20" spans="1:15" ht="29" x14ac:dyDescent="0.45">
      <c r="A20" s="14" t="s">
        <v>16</v>
      </c>
      <c r="B20" s="17"/>
      <c r="C20" s="17">
        <v>34</v>
      </c>
      <c r="D20" s="11">
        <v>5736</v>
      </c>
      <c r="E20" s="9">
        <v>817</v>
      </c>
      <c r="F20" s="10">
        <f t="shared" si="0"/>
        <v>14.243375174337517</v>
      </c>
      <c r="G20" s="11">
        <v>5736</v>
      </c>
      <c r="H20" s="9">
        <v>560</v>
      </c>
      <c r="I20" s="12">
        <f t="shared" si="1"/>
        <v>9.7629009762900978</v>
      </c>
      <c r="J20" s="9">
        <v>6878</v>
      </c>
      <c r="K20" s="9">
        <v>651</v>
      </c>
      <c r="L20" s="10">
        <f t="shared" si="2"/>
        <v>9.4649607444024433</v>
      </c>
      <c r="M20" s="9"/>
      <c r="N20" s="9">
        <v>1576</v>
      </c>
      <c r="O20" s="7" t="e">
        <f t="shared" si="3"/>
        <v>#DIV/0!</v>
      </c>
    </row>
    <row r="21" spans="1:15" ht="16.5" x14ac:dyDescent="0.45">
      <c r="A21" s="14" t="s">
        <v>17</v>
      </c>
      <c r="B21" s="17"/>
      <c r="C21" s="17">
        <v>9</v>
      </c>
      <c r="D21" s="11">
        <v>2230</v>
      </c>
      <c r="E21" s="9">
        <v>362</v>
      </c>
      <c r="F21" s="10">
        <f t="shared" si="0"/>
        <v>16.233183856502244</v>
      </c>
      <c r="G21" s="11">
        <v>2230</v>
      </c>
      <c r="H21" s="9">
        <v>334</v>
      </c>
      <c r="I21" s="12">
        <f t="shared" si="1"/>
        <v>14.977578475336323</v>
      </c>
      <c r="J21" s="9">
        <v>2609</v>
      </c>
      <c r="K21" s="9">
        <v>420</v>
      </c>
      <c r="L21" s="10">
        <f t="shared" si="2"/>
        <v>16.098121885779992</v>
      </c>
      <c r="M21" s="9"/>
      <c r="N21" s="9">
        <v>2797</v>
      </c>
      <c r="O21" s="7" t="e">
        <f t="shared" si="3"/>
        <v>#DIV/0!</v>
      </c>
    </row>
    <row r="22" spans="1:15" ht="16.5" x14ac:dyDescent="0.45">
      <c r="A22" s="14" t="s">
        <v>18</v>
      </c>
      <c r="B22" s="17"/>
      <c r="C22" s="17">
        <v>0</v>
      </c>
      <c r="D22" s="11">
        <v>543</v>
      </c>
      <c r="E22" s="9">
        <v>99</v>
      </c>
      <c r="F22" s="10">
        <f t="shared" si="0"/>
        <v>18.232044198895029</v>
      </c>
      <c r="G22" s="11">
        <v>543</v>
      </c>
      <c r="H22" s="9">
        <v>96</v>
      </c>
      <c r="I22" s="12">
        <f t="shared" si="1"/>
        <v>17.679558011049721</v>
      </c>
      <c r="J22" s="9">
        <v>634</v>
      </c>
      <c r="K22" s="9">
        <v>139</v>
      </c>
      <c r="L22" s="10">
        <f t="shared" si="2"/>
        <v>21.92429022082019</v>
      </c>
      <c r="M22" s="9"/>
      <c r="N22" s="9">
        <v>33</v>
      </c>
      <c r="O22" s="7" t="e">
        <f t="shared" si="3"/>
        <v>#DIV/0!</v>
      </c>
    </row>
    <row r="23" spans="1:15" ht="16.5" x14ac:dyDescent="0.45">
      <c r="A23" s="14" t="s">
        <v>19</v>
      </c>
      <c r="B23" s="17"/>
      <c r="C23" s="17">
        <v>0</v>
      </c>
      <c r="D23" s="11">
        <v>284</v>
      </c>
      <c r="E23" s="9">
        <v>40</v>
      </c>
      <c r="F23" s="10">
        <f t="shared" si="0"/>
        <v>14.084507042253522</v>
      </c>
      <c r="G23" s="11">
        <v>284</v>
      </c>
      <c r="H23" s="9">
        <v>40</v>
      </c>
      <c r="I23" s="12">
        <f t="shared" si="1"/>
        <v>14.084507042253522</v>
      </c>
      <c r="J23" s="9">
        <v>376</v>
      </c>
      <c r="K23" s="9">
        <v>65</v>
      </c>
      <c r="L23" s="10">
        <f t="shared" si="2"/>
        <v>17.287234042553195</v>
      </c>
      <c r="M23" s="9"/>
      <c r="N23" s="9">
        <v>137</v>
      </c>
      <c r="O23" s="7" t="e">
        <f t="shared" si="3"/>
        <v>#DIV/0!</v>
      </c>
    </row>
    <row r="24" spans="1:15" ht="29" x14ac:dyDescent="0.45">
      <c r="A24" s="14" t="s">
        <v>20</v>
      </c>
      <c r="B24" s="17"/>
      <c r="C24" s="17">
        <v>0</v>
      </c>
      <c r="D24" s="11">
        <v>220</v>
      </c>
      <c r="E24" s="9">
        <v>32</v>
      </c>
      <c r="F24" s="10">
        <f t="shared" si="0"/>
        <v>14.545454545454545</v>
      </c>
      <c r="G24" s="11">
        <v>220</v>
      </c>
      <c r="H24" s="9">
        <v>47</v>
      </c>
      <c r="I24" s="12">
        <f t="shared" si="1"/>
        <v>21.363636363636363</v>
      </c>
      <c r="J24" s="9">
        <v>212</v>
      </c>
      <c r="K24" s="9">
        <v>115</v>
      </c>
      <c r="L24" s="10">
        <f t="shared" si="2"/>
        <v>54.24528301886793</v>
      </c>
      <c r="M24" s="9"/>
      <c r="N24" s="9">
        <v>4</v>
      </c>
      <c r="O24" s="7" t="e">
        <f t="shared" si="3"/>
        <v>#DIV/0!</v>
      </c>
    </row>
    <row r="25" spans="1:15" ht="29" x14ac:dyDescent="0.45">
      <c r="A25" s="14" t="s">
        <v>21</v>
      </c>
      <c r="B25" s="17"/>
      <c r="C25" s="17">
        <v>0</v>
      </c>
      <c r="D25" s="11">
        <v>228</v>
      </c>
      <c r="E25" s="9">
        <v>25</v>
      </c>
      <c r="F25" s="10">
        <f t="shared" si="0"/>
        <v>10.964912280701753</v>
      </c>
      <c r="G25" s="11">
        <v>228</v>
      </c>
      <c r="H25" s="9">
        <v>21</v>
      </c>
      <c r="I25" s="12">
        <f t="shared" si="1"/>
        <v>9.2105263157894726</v>
      </c>
      <c r="J25" s="9">
        <v>219</v>
      </c>
      <c r="K25" s="9">
        <v>28</v>
      </c>
      <c r="L25" s="10">
        <f t="shared" si="2"/>
        <v>12.785388127853881</v>
      </c>
      <c r="M25" s="9"/>
      <c r="N25" s="9">
        <v>45</v>
      </c>
      <c r="O25" s="7" t="e">
        <f t="shared" si="3"/>
        <v>#DIV/0!</v>
      </c>
    </row>
    <row r="26" spans="1:15" ht="29" x14ac:dyDescent="0.45">
      <c r="A26" s="14" t="s">
        <v>22</v>
      </c>
      <c r="B26" s="17"/>
      <c r="C26" s="17">
        <v>0</v>
      </c>
      <c r="D26" s="11">
        <v>33</v>
      </c>
      <c r="E26" s="9">
        <v>14</v>
      </c>
      <c r="F26" s="10">
        <f t="shared" si="0"/>
        <v>42.424242424242422</v>
      </c>
      <c r="G26" s="11">
        <v>33</v>
      </c>
      <c r="H26" s="9">
        <v>2</v>
      </c>
      <c r="I26" s="12">
        <f t="shared" si="1"/>
        <v>6.0606060606060606</v>
      </c>
      <c r="J26" s="9">
        <v>38</v>
      </c>
      <c r="K26" s="9">
        <v>1</v>
      </c>
      <c r="L26" s="10">
        <f t="shared" si="2"/>
        <v>2.6315789473684208</v>
      </c>
      <c r="M26" s="9"/>
      <c r="N26" s="9">
        <v>150</v>
      </c>
      <c r="O26" s="7" t="e">
        <f t="shared" si="3"/>
        <v>#DIV/0!</v>
      </c>
    </row>
    <row r="27" spans="1:15" ht="29" x14ac:dyDescent="0.45">
      <c r="A27" s="14" t="s">
        <v>23</v>
      </c>
      <c r="B27" s="17"/>
      <c r="C27" s="17">
        <v>0</v>
      </c>
      <c r="D27" s="11">
        <v>38</v>
      </c>
      <c r="E27" s="9">
        <v>6</v>
      </c>
      <c r="F27" s="10">
        <f t="shared" si="0"/>
        <v>15.789473684210526</v>
      </c>
      <c r="G27" s="11">
        <v>38</v>
      </c>
      <c r="H27" s="9">
        <v>2</v>
      </c>
      <c r="I27" s="12">
        <f t="shared" si="1"/>
        <v>5.2631578947368416</v>
      </c>
      <c r="J27" s="9">
        <v>41</v>
      </c>
      <c r="K27" s="9">
        <v>4</v>
      </c>
      <c r="L27" s="10">
        <f t="shared" si="2"/>
        <v>9.7560975609756095</v>
      </c>
      <c r="M27" s="9"/>
      <c r="N27" s="9">
        <v>70</v>
      </c>
      <c r="O27" s="7" t="e">
        <f t="shared" si="3"/>
        <v>#DIV/0!</v>
      </c>
    </row>
    <row r="28" spans="1:15" ht="16.5" x14ac:dyDescent="0.45">
      <c r="A28" s="14" t="s">
        <v>24</v>
      </c>
      <c r="B28" s="17"/>
      <c r="C28" s="17">
        <v>0</v>
      </c>
      <c r="D28" s="11">
        <v>130</v>
      </c>
      <c r="E28" s="9">
        <v>10</v>
      </c>
      <c r="F28" s="10">
        <f t="shared" si="0"/>
        <v>7.6923076923076925</v>
      </c>
      <c r="G28" s="11">
        <v>130</v>
      </c>
      <c r="H28" s="9">
        <v>28</v>
      </c>
      <c r="I28" s="12">
        <f t="shared" si="1"/>
        <v>21.53846153846154</v>
      </c>
      <c r="J28" s="9">
        <v>140</v>
      </c>
      <c r="K28" s="9">
        <v>32</v>
      </c>
      <c r="L28" s="10">
        <f t="shared" si="2"/>
        <v>22.857142857142858</v>
      </c>
      <c r="M28" s="9"/>
      <c r="N28" s="9">
        <v>11</v>
      </c>
      <c r="O28" s="7" t="e">
        <f t="shared" si="3"/>
        <v>#DIV/0!</v>
      </c>
    </row>
    <row r="29" spans="1:15" ht="16.5" x14ac:dyDescent="0.45">
      <c r="A29" s="14" t="s">
        <v>25</v>
      </c>
      <c r="B29" s="17"/>
      <c r="C29" s="17">
        <v>0</v>
      </c>
      <c r="D29" s="11">
        <v>278</v>
      </c>
      <c r="E29" s="9">
        <v>60</v>
      </c>
      <c r="F29" s="10">
        <f t="shared" si="0"/>
        <v>21.582733812949641</v>
      </c>
      <c r="G29" s="11">
        <v>278</v>
      </c>
      <c r="H29" s="9">
        <v>68</v>
      </c>
      <c r="I29" s="12">
        <f t="shared" si="1"/>
        <v>24.46043165467626</v>
      </c>
      <c r="J29" s="9">
        <v>348</v>
      </c>
      <c r="K29" s="9">
        <v>127</v>
      </c>
      <c r="L29" s="10">
        <f t="shared" si="2"/>
        <v>36.494252873563219</v>
      </c>
      <c r="M29" s="9"/>
      <c r="N29" s="9">
        <v>65</v>
      </c>
      <c r="O29" s="7" t="e">
        <f t="shared" si="3"/>
        <v>#DIV/0!</v>
      </c>
    </row>
    <row r="30" spans="1:15" ht="16.5" x14ac:dyDescent="0.45">
      <c r="A30" s="15" t="s">
        <v>26</v>
      </c>
      <c r="B30" s="17"/>
      <c r="C30" s="17">
        <v>3</v>
      </c>
      <c r="D30" s="11">
        <v>499</v>
      </c>
      <c r="E30" s="9">
        <v>57</v>
      </c>
      <c r="F30" s="10">
        <f t="shared" si="0"/>
        <v>11.422845691382765</v>
      </c>
      <c r="G30" s="11">
        <v>499</v>
      </c>
      <c r="H30" s="9">
        <v>58</v>
      </c>
      <c r="I30" s="12">
        <f t="shared" si="1"/>
        <v>11.623246492985972</v>
      </c>
      <c r="J30" s="9">
        <v>560</v>
      </c>
      <c r="K30" s="9">
        <v>74</v>
      </c>
      <c r="L30" s="10">
        <f t="shared" si="2"/>
        <v>13.214285714285715</v>
      </c>
      <c r="M30" s="9"/>
      <c r="N30" s="9">
        <v>130</v>
      </c>
      <c r="O30" s="7" t="e">
        <f t="shared" si="3"/>
        <v>#DIV/0!</v>
      </c>
    </row>
    <row r="31" spans="1:15" ht="16.5" x14ac:dyDescent="0.45">
      <c r="A31" s="15" t="s">
        <v>27</v>
      </c>
      <c r="B31" s="17"/>
      <c r="C31" s="17">
        <v>0</v>
      </c>
      <c r="D31" s="11">
        <v>54</v>
      </c>
      <c r="E31" s="9">
        <v>7</v>
      </c>
      <c r="F31" s="10">
        <f t="shared" si="0"/>
        <v>12.962962962962962</v>
      </c>
      <c r="G31" s="11">
        <v>54</v>
      </c>
      <c r="H31" s="9">
        <v>20</v>
      </c>
      <c r="I31" s="12">
        <f t="shared" si="1"/>
        <v>37.037037037037038</v>
      </c>
      <c r="J31" s="9">
        <v>51</v>
      </c>
      <c r="K31" s="9">
        <v>26</v>
      </c>
      <c r="L31" s="10">
        <f t="shared" si="2"/>
        <v>50.980392156862742</v>
      </c>
      <c r="M31" s="9"/>
      <c r="N31" s="9">
        <v>11</v>
      </c>
      <c r="O31" s="7" t="e">
        <f t="shared" si="3"/>
        <v>#DIV/0!</v>
      </c>
    </row>
    <row r="32" spans="1:15" ht="16.5" x14ac:dyDescent="0.45">
      <c r="A32" s="15" t="s">
        <v>28</v>
      </c>
      <c r="B32" s="17"/>
      <c r="C32" s="17">
        <v>0</v>
      </c>
      <c r="D32" s="11">
        <v>137</v>
      </c>
      <c r="E32" s="9">
        <v>19</v>
      </c>
      <c r="F32" s="10">
        <f t="shared" si="0"/>
        <v>13.868613138686131</v>
      </c>
      <c r="G32" s="11">
        <v>137</v>
      </c>
      <c r="H32" s="9">
        <v>18</v>
      </c>
      <c r="I32" s="12">
        <f t="shared" si="1"/>
        <v>13.138686131386862</v>
      </c>
      <c r="J32" s="9">
        <v>184</v>
      </c>
      <c r="K32" s="9">
        <v>14</v>
      </c>
      <c r="L32" s="10">
        <f t="shared" si="2"/>
        <v>7.608695652173914</v>
      </c>
      <c r="M32" s="9"/>
      <c r="N32" s="9">
        <v>4</v>
      </c>
      <c r="O32" s="7" t="e">
        <f t="shared" si="3"/>
        <v>#DIV/0!</v>
      </c>
    </row>
    <row r="33" spans="1:15" ht="16.5" x14ac:dyDescent="0.45">
      <c r="A33" s="15" t="s">
        <v>29</v>
      </c>
      <c r="B33" s="17"/>
      <c r="C33" s="17">
        <v>0</v>
      </c>
      <c r="D33" s="11">
        <v>443</v>
      </c>
      <c r="E33" s="9">
        <v>175</v>
      </c>
      <c r="F33" s="10">
        <f t="shared" si="0"/>
        <v>39.503386004514674</v>
      </c>
      <c r="G33" s="11">
        <v>443</v>
      </c>
      <c r="H33" s="9">
        <v>198</v>
      </c>
      <c r="I33" s="12">
        <f t="shared" si="1"/>
        <v>44.695259593679459</v>
      </c>
      <c r="J33" s="9">
        <v>425</v>
      </c>
      <c r="K33" s="9">
        <v>167</v>
      </c>
      <c r="L33" s="10">
        <f t="shared" si="2"/>
        <v>39.294117647058826</v>
      </c>
      <c r="M33" s="9"/>
      <c r="N33" s="9">
        <v>606</v>
      </c>
      <c r="O33" s="7" t="e">
        <f t="shared" si="3"/>
        <v>#DIV/0!</v>
      </c>
    </row>
    <row r="34" spans="1:15" ht="16.5" x14ac:dyDescent="0.45">
      <c r="A34" s="15" t="s">
        <v>30</v>
      </c>
      <c r="B34" s="17"/>
      <c r="C34" s="17">
        <v>0</v>
      </c>
      <c r="D34" s="11">
        <v>99</v>
      </c>
      <c r="E34" s="9">
        <v>13</v>
      </c>
      <c r="F34" s="10">
        <f t="shared" si="0"/>
        <v>13.131313131313133</v>
      </c>
      <c r="G34" s="11">
        <v>99</v>
      </c>
      <c r="H34" s="9">
        <v>12</v>
      </c>
      <c r="I34" s="12">
        <f t="shared" si="1"/>
        <v>12.121212121212121</v>
      </c>
      <c r="J34" s="9">
        <v>95</v>
      </c>
      <c r="K34" s="9">
        <v>4</v>
      </c>
      <c r="L34" s="10">
        <f t="shared" si="2"/>
        <v>4.2105263157894735</v>
      </c>
      <c r="M34" s="9"/>
      <c r="N34" s="9">
        <v>1</v>
      </c>
      <c r="O34" s="7" t="e">
        <f t="shared" si="3"/>
        <v>#DIV/0!</v>
      </c>
    </row>
    <row r="35" spans="1:15" ht="43.5" x14ac:dyDescent="0.45">
      <c r="A35" s="15" t="s">
        <v>31</v>
      </c>
      <c r="B35" s="17"/>
      <c r="C35" s="17">
        <v>3</v>
      </c>
      <c r="D35" s="11">
        <v>1467</v>
      </c>
      <c r="E35" s="9">
        <v>128</v>
      </c>
      <c r="F35" s="10">
        <f t="shared" si="0"/>
        <v>8.7252897068847997</v>
      </c>
      <c r="G35" s="11">
        <v>1467</v>
      </c>
      <c r="H35" s="9">
        <v>201</v>
      </c>
      <c r="I35" s="12">
        <f t="shared" si="1"/>
        <v>13.701431492842536</v>
      </c>
      <c r="J35" s="9">
        <v>1144</v>
      </c>
      <c r="K35" s="9">
        <v>112</v>
      </c>
      <c r="L35" s="10">
        <f t="shared" si="2"/>
        <v>9.79020979020979</v>
      </c>
      <c r="M35" s="9"/>
      <c r="N35" s="9">
        <v>168</v>
      </c>
      <c r="O35" s="7" t="e">
        <f t="shared" si="3"/>
        <v>#DIV/0!</v>
      </c>
    </row>
    <row r="36" spans="1:15" ht="29" x14ac:dyDescent="0.45">
      <c r="A36" s="15" t="s">
        <v>32</v>
      </c>
      <c r="B36" s="17"/>
      <c r="C36" s="17">
        <v>0</v>
      </c>
      <c r="D36" s="11">
        <v>30</v>
      </c>
      <c r="E36" s="9">
        <v>23</v>
      </c>
      <c r="F36" s="10">
        <f t="shared" si="0"/>
        <v>76.666666666666671</v>
      </c>
      <c r="G36" s="11">
        <v>30</v>
      </c>
      <c r="H36" s="9">
        <v>26</v>
      </c>
      <c r="I36" s="12">
        <f t="shared" si="1"/>
        <v>86.666666666666671</v>
      </c>
      <c r="J36" s="9">
        <v>50</v>
      </c>
      <c r="K36" s="9">
        <v>39</v>
      </c>
      <c r="L36" s="10">
        <f t="shared" si="2"/>
        <v>78</v>
      </c>
      <c r="M36" s="9"/>
      <c r="N36" s="9">
        <v>3</v>
      </c>
      <c r="O36" s="7" t="e">
        <f t="shared" si="3"/>
        <v>#DIV/0!</v>
      </c>
    </row>
    <row r="37" spans="1:15" ht="16.5" x14ac:dyDescent="0.45">
      <c r="A37" s="15" t="s">
        <v>33</v>
      </c>
      <c r="B37" s="17"/>
      <c r="C37" s="17">
        <v>0</v>
      </c>
      <c r="D37" s="11">
        <v>112</v>
      </c>
      <c r="E37" s="9">
        <v>19</v>
      </c>
      <c r="F37" s="10">
        <f t="shared" si="0"/>
        <v>16.964285714285715</v>
      </c>
      <c r="G37" s="11">
        <v>112</v>
      </c>
      <c r="H37" s="9">
        <v>13</v>
      </c>
      <c r="I37" s="12">
        <f t="shared" si="1"/>
        <v>11.607142857142858</v>
      </c>
      <c r="J37" s="9">
        <v>133</v>
      </c>
      <c r="K37" s="9">
        <v>28</v>
      </c>
      <c r="L37" s="10">
        <f t="shared" si="2"/>
        <v>21.052631578947366</v>
      </c>
      <c r="M37" s="9"/>
      <c r="N37" s="9">
        <v>1</v>
      </c>
      <c r="O37" s="7" t="e">
        <f t="shared" si="3"/>
        <v>#DIV/0!</v>
      </c>
    </row>
    <row r="38" spans="1:15" ht="29" x14ac:dyDescent="0.45">
      <c r="A38" s="16" t="s">
        <v>34</v>
      </c>
      <c r="B38" s="17"/>
      <c r="C38" s="17">
        <v>0</v>
      </c>
      <c r="D38" s="11">
        <v>61</v>
      </c>
      <c r="E38" s="9">
        <v>6</v>
      </c>
      <c r="F38" s="10">
        <f t="shared" si="0"/>
        <v>9.8360655737704921</v>
      </c>
      <c r="G38" s="11">
        <v>61</v>
      </c>
      <c r="H38" s="9">
        <v>12</v>
      </c>
      <c r="I38" s="12">
        <f t="shared" si="1"/>
        <v>19.672131147540984</v>
      </c>
      <c r="J38" s="9">
        <v>105</v>
      </c>
      <c r="K38" s="9">
        <v>11</v>
      </c>
      <c r="L38" s="10">
        <f t="shared" si="2"/>
        <v>10.476190476190476</v>
      </c>
      <c r="M38" s="9"/>
      <c r="N38" s="9">
        <v>46</v>
      </c>
      <c r="O38" s="7" t="e">
        <f t="shared" si="3"/>
        <v>#DIV/0!</v>
      </c>
    </row>
    <row r="39" spans="1:15" ht="16.5" x14ac:dyDescent="0.45">
      <c r="A39" s="16" t="s">
        <v>35</v>
      </c>
      <c r="B39" s="17"/>
      <c r="C39" s="17">
        <v>0</v>
      </c>
      <c r="D39" s="11">
        <v>117</v>
      </c>
      <c r="E39" s="9">
        <v>15</v>
      </c>
      <c r="F39" s="10">
        <f t="shared" si="0"/>
        <v>12.820512820512819</v>
      </c>
      <c r="G39" s="11">
        <v>117</v>
      </c>
      <c r="H39" s="9">
        <v>17</v>
      </c>
      <c r="I39" s="12">
        <f t="shared" si="1"/>
        <v>14.529914529914532</v>
      </c>
      <c r="J39" s="9">
        <v>64</v>
      </c>
      <c r="K39" s="9">
        <v>29</v>
      </c>
      <c r="L39" s="10">
        <f t="shared" si="2"/>
        <v>45.3125</v>
      </c>
      <c r="M39" s="9"/>
      <c r="N39" s="9">
        <v>167</v>
      </c>
      <c r="O39" s="7" t="e">
        <f t="shared" si="3"/>
        <v>#DIV/0!</v>
      </c>
    </row>
    <row r="40" spans="1:15" ht="16.5" x14ac:dyDescent="0.45">
      <c r="A40" s="16" t="s">
        <v>36</v>
      </c>
      <c r="B40" s="17"/>
      <c r="C40" s="17">
        <v>0</v>
      </c>
      <c r="D40" s="11">
        <v>62</v>
      </c>
      <c r="E40" s="9">
        <v>4</v>
      </c>
      <c r="F40" s="10">
        <f t="shared" si="0"/>
        <v>6.4516129032258061</v>
      </c>
      <c r="G40" s="11">
        <v>62</v>
      </c>
      <c r="H40" s="9">
        <v>11</v>
      </c>
      <c r="I40" s="12">
        <f t="shared" si="1"/>
        <v>17.741935483870968</v>
      </c>
      <c r="J40" s="9">
        <v>69</v>
      </c>
      <c r="K40" s="9">
        <v>11</v>
      </c>
      <c r="L40" s="10">
        <f t="shared" si="2"/>
        <v>15.942028985507244</v>
      </c>
      <c r="M40" s="9"/>
      <c r="N40" s="9">
        <v>64</v>
      </c>
      <c r="O40" s="7" t="e">
        <f t="shared" si="3"/>
        <v>#DIV/0!</v>
      </c>
    </row>
    <row r="41" spans="1:15" ht="16.5" x14ac:dyDescent="0.45">
      <c r="A41" s="16" t="s">
        <v>37</v>
      </c>
      <c r="B41" s="17"/>
      <c r="C41" s="17">
        <v>0</v>
      </c>
      <c r="D41" s="11">
        <v>62</v>
      </c>
      <c r="E41" s="9">
        <v>7</v>
      </c>
      <c r="F41" s="10">
        <f t="shared" si="0"/>
        <v>11.29032258064516</v>
      </c>
      <c r="G41" s="11">
        <v>62</v>
      </c>
      <c r="H41" s="9">
        <v>4</v>
      </c>
      <c r="I41" s="12">
        <f t="shared" si="1"/>
        <v>6.4516129032258061</v>
      </c>
      <c r="J41" s="9">
        <v>75</v>
      </c>
      <c r="K41" s="9">
        <v>13</v>
      </c>
      <c r="L41" s="10">
        <f t="shared" si="2"/>
        <v>17.333333333333336</v>
      </c>
      <c r="M41" s="9"/>
      <c r="N41" s="9">
        <v>71</v>
      </c>
      <c r="O41" s="7" t="e">
        <f t="shared" si="3"/>
        <v>#DIV/0!</v>
      </c>
    </row>
    <row r="42" spans="1:15" ht="16.5" x14ac:dyDescent="0.45">
      <c r="A42" s="16" t="s">
        <v>38</v>
      </c>
      <c r="B42" s="17"/>
      <c r="C42" s="17">
        <v>0</v>
      </c>
      <c r="D42" s="11">
        <v>130</v>
      </c>
      <c r="E42" s="9">
        <v>19</v>
      </c>
      <c r="F42" s="10">
        <f t="shared" si="0"/>
        <v>14.615384615384617</v>
      </c>
      <c r="G42" s="11">
        <v>130</v>
      </c>
      <c r="H42" s="9">
        <v>15</v>
      </c>
      <c r="I42" s="12">
        <f t="shared" si="1"/>
        <v>11.538461538461538</v>
      </c>
      <c r="J42" s="9">
        <v>123</v>
      </c>
      <c r="K42" s="9">
        <v>42</v>
      </c>
      <c r="L42" s="10">
        <f t="shared" si="2"/>
        <v>34.146341463414636</v>
      </c>
      <c r="M42" s="9"/>
      <c r="N42" s="9">
        <v>162</v>
      </c>
      <c r="O42" s="7" t="e">
        <f t="shared" si="3"/>
        <v>#DIV/0!</v>
      </c>
    </row>
    <row r="43" spans="1:15" ht="16.5" x14ac:dyDescent="0.45">
      <c r="A43" s="16" t="s">
        <v>39</v>
      </c>
      <c r="B43" s="17"/>
      <c r="C43" s="17">
        <v>0</v>
      </c>
      <c r="D43" s="11">
        <v>259</v>
      </c>
      <c r="E43" s="9">
        <v>40</v>
      </c>
      <c r="F43" s="10">
        <f t="shared" si="0"/>
        <v>15.444015444015443</v>
      </c>
      <c r="G43" s="11">
        <v>259</v>
      </c>
      <c r="H43" s="9">
        <v>34</v>
      </c>
      <c r="I43" s="12">
        <f t="shared" si="1"/>
        <v>13.127413127413126</v>
      </c>
      <c r="J43" s="9">
        <v>208</v>
      </c>
      <c r="K43" s="9">
        <v>30</v>
      </c>
      <c r="L43" s="10">
        <f t="shared" si="2"/>
        <v>14.423076923076922</v>
      </c>
      <c r="M43" s="9"/>
      <c r="N43" s="9">
        <v>274</v>
      </c>
      <c r="O43" s="7" t="e">
        <f t="shared" si="3"/>
        <v>#DIV/0!</v>
      </c>
    </row>
    <row r="44" spans="1:15" ht="29" x14ac:dyDescent="0.45">
      <c r="A44" s="16" t="s">
        <v>40</v>
      </c>
      <c r="B44" s="17"/>
      <c r="C44" s="17">
        <v>0</v>
      </c>
      <c r="D44" s="11">
        <v>36</v>
      </c>
      <c r="E44" s="9">
        <v>2</v>
      </c>
      <c r="F44" s="10">
        <f t="shared" si="0"/>
        <v>5.5555555555555554</v>
      </c>
      <c r="G44" s="11">
        <v>36</v>
      </c>
      <c r="H44" s="9">
        <v>3</v>
      </c>
      <c r="I44" s="12">
        <f t="shared" si="1"/>
        <v>8.3333333333333321</v>
      </c>
      <c r="J44" s="9">
        <v>36</v>
      </c>
      <c r="K44" s="9">
        <v>9</v>
      </c>
      <c r="L44" s="10">
        <f t="shared" si="2"/>
        <v>25</v>
      </c>
      <c r="M44" s="9"/>
      <c r="N44" s="9">
        <v>0</v>
      </c>
      <c r="O44" s="7" t="e">
        <f t="shared" si="3"/>
        <v>#DIV/0!</v>
      </c>
    </row>
    <row r="45" spans="1:15" ht="29" x14ac:dyDescent="0.45">
      <c r="A45" s="16" t="s">
        <v>41</v>
      </c>
      <c r="B45" s="17"/>
      <c r="C45" s="17">
        <v>4</v>
      </c>
      <c r="D45" s="11">
        <v>129</v>
      </c>
      <c r="E45" s="9">
        <v>19</v>
      </c>
      <c r="F45" s="10">
        <f t="shared" si="0"/>
        <v>14.728682170542637</v>
      </c>
      <c r="G45" s="11">
        <v>129</v>
      </c>
      <c r="H45" s="9">
        <v>29</v>
      </c>
      <c r="I45" s="12">
        <f t="shared" si="1"/>
        <v>22.480620155038761</v>
      </c>
      <c r="J45" s="9">
        <v>153</v>
      </c>
      <c r="K45" s="9">
        <v>29</v>
      </c>
      <c r="L45" s="10">
        <f t="shared" si="2"/>
        <v>18.954248366013072</v>
      </c>
      <c r="M45" s="9"/>
      <c r="N45" s="9">
        <v>293</v>
      </c>
      <c r="O45" s="7" t="e">
        <f t="shared" si="3"/>
        <v>#DIV/0!</v>
      </c>
    </row>
    <row r="46" spans="1:15" x14ac:dyDescent="0.35">
      <c r="A46" s="40" t="s">
        <v>50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x14ac:dyDescent="0.35">
      <c r="A47" s="34" t="s">
        <v>51</v>
      </c>
      <c r="B47" s="34"/>
      <c r="C47" s="34"/>
      <c r="D47" s="34"/>
      <c r="E47" s="34"/>
    </row>
    <row r="48" spans="1:15" x14ac:dyDescent="0.35">
      <c r="A48" s="35" t="s">
        <v>52</v>
      </c>
      <c r="B48" s="35"/>
      <c r="C48" s="35"/>
      <c r="D48" s="35"/>
      <c r="E48" s="35"/>
    </row>
  </sheetData>
  <mergeCells count="8">
    <mergeCell ref="A46:L46"/>
    <mergeCell ref="A47:E47"/>
    <mergeCell ref="A48:E48"/>
    <mergeCell ref="A1:O1"/>
    <mergeCell ref="A2:O3"/>
    <mergeCell ref="A4:O4"/>
    <mergeCell ref="A5:L5"/>
    <mergeCell ref="M5:O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8"/>
  <sheetViews>
    <sheetView topLeftCell="A10" workbookViewId="0">
      <selection activeCell="M36" sqref="M36"/>
    </sheetView>
  </sheetViews>
  <sheetFormatPr baseColWidth="10" defaultRowHeight="14.5" x14ac:dyDescent="0.35"/>
  <sheetData>
    <row r="1" spans="1:15" ht="23.5" x14ac:dyDescent="0.55000000000000004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4.25" customHeight="1" x14ac:dyDescent="0.35">
      <c r="A2" s="37" t="s">
        <v>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4.2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8.75" customHeight="1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ht="15" customHeight="1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2" t="s">
        <v>49</v>
      </c>
      <c r="N5" s="42"/>
      <c r="O5" s="42"/>
    </row>
    <row r="6" spans="1:15" ht="43.5" x14ac:dyDescent="0.35">
      <c r="A6" s="5" t="s">
        <v>2</v>
      </c>
      <c r="B6" s="5" t="s">
        <v>42</v>
      </c>
      <c r="C6" s="6" t="s">
        <v>54</v>
      </c>
      <c r="D6" s="5" t="s">
        <v>42</v>
      </c>
      <c r="E6" s="6" t="s">
        <v>45</v>
      </c>
      <c r="F6" s="6" t="s">
        <v>44</v>
      </c>
      <c r="G6" s="5" t="s">
        <v>42</v>
      </c>
      <c r="H6" s="6" t="s">
        <v>46</v>
      </c>
      <c r="I6" s="6" t="s">
        <v>44</v>
      </c>
      <c r="J6" s="5" t="s">
        <v>42</v>
      </c>
      <c r="K6" s="6" t="s">
        <v>43</v>
      </c>
      <c r="L6" s="5" t="s">
        <v>44</v>
      </c>
      <c r="M6" s="5" t="s">
        <v>42</v>
      </c>
      <c r="N6" s="6" t="s">
        <v>48</v>
      </c>
      <c r="O6" s="5" t="s">
        <v>44</v>
      </c>
    </row>
    <row r="7" spans="1:15" ht="16.5" x14ac:dyDescent="0.45">
      <c r="A7" s="13" t="s">
        <v>3</v>
      </c>
      <c r="B7" s="17"/>
      <c r="C7" s="18">
        <v>388</v>
      </c>
      <c r="D7" s="11">
        <v>8431</v>
      </c>
      <c r="E7" s="7">
        <v>1417</v>
      </c>
      <c r="F7" s="10">
        <f t="shared" ref="F7:F45" si="0">SUM(E7/D7*100)</f>
        <v>16.807021705610246</v>
      </c>
      <c r="G7" s="11">
        <v>8431</v>
      </c>
      <c r="H7" s="8">
        <v>1118</v>
      </c>
      <c r="I7" s="12">
        <f>SUM(H7/G7*100)</f>
        <v>13.2605859328668</v>
      </c>
      <c r="J7" s="8">
        <v>10719</v>
      </c>
      <c r="K7" s="8">
        <v>1460</v>
      </c>
      <c r="L7" s="10">
        <f>SUM(K7/J7*100)</f>
        <v>13.620673570295736</v>
      </c>
      <c r="M7" s="8"/>
      <c r="N7" s="8">
        <v>7062</v>
      </c>
      <c r="O7" s="7" t="e">
        <f>SUM(N7/M7*100)</f>
        <v>#DIV/0!</v>
      </c>
    </row>
    <row r="8" spans="1:15" ht="29" x14ac:dyDescent="0.45">
      <c r="A8" s="13" t="s">
        <v>4</v>
      </c>
      <c r="B8" s="17"/>
      <c r="C8" s="17">
        <v>21</v>
      </c>
      <c r="D8" s="11">
        <v>576</v>
      </c>
      <c r="E8" s="9">
        <v>122</v>
      </c>
      <c r="F8" s="10">
        <f t="shared" si="0"/>
        <v>21.180555555555554</v>
      </c>
      <c r="G8" s="11">
        <v>576</v>
      </c>
      <c r="H8" s="9">
        <v>102</v>
      </c>
      <c r="I8" s="12">
        <f t="shared" ref="I8:I45" si="1">SUM(H8/G8*100)</f>
        <v>17.708333333333336</v>
      </c>
      <c r="J8" s="9">
        <v>657</v>
      </c>
      <c r="K8" s="9">
        <v>148</v>
      </c>
      <c r="L8" s="10">
        <f t="shared" ref="L8:L45" si="2">SUM(K8/J8*100)</f>
        <v>22.526636225266362</v>
      </c>
      <c r="M8" s="9"/>
      <c r="N8" s="9">
        <v>379</v>
      </c>
      <c r="O8" s="7" t="e">
        <f t="shared" ref="O8:O45" si="3">SUM(N8/M8*100)</f>
        <v>#DIV/0!</v>
      </c>
    </row>
    <row r="9" spans="1:15" ht="16.5" x14ac:dyDescent="0.45">
      <c r="A9" s="13" t="s">
        <v>5</v>
      </c>
      <c r="B9" s="17"/>
      <c r="C9" s="17">
        <v>52</v>
      </c>
      <c r="D9" s="11">
        <v>1425</v>
      </c>
      <c r="E9" s="9">
        <v>143</v>
      </c>
      <c r="F9" s="10">
        <f t="shared" si="0"/>
        <v>10.035087719298245</v>
      </c>
      <c r="G9" s="11">
        <v>1425</v>
      </c>
      <c r="H9" s="9">
        <v>122</v>
      </c>
      <c r="I9" s="12">
        <f t="shared" si="1"/>
        <v>8.5614035087719298</v>
      </c>
      <c r="J9" s="9">
        <v>1082</v>
      </c>
      <c r="K9" s="9">
        <v>141</v>
      </c>
      <c r="L9" s="10">
        <f t="shared" si="2"/>
        <v>13.031423290203328</v>
      </c>
      <c r="M9" s="9"/>
      <c r="N9" s="9">
        <v>167</v>
      </c>
      <c r="O9" s="7" t="e">
        <f t="shared" si="3"/>
        <v>#DIV/0!</v>
      </c>
    </row>
    <row r="10" spans="1:15" ht="29" x14ac:dyDescent="0.45">
      <c r="A10" s="13" t="s">
        <v>6</v>
      </c>
      <c r="B10" s="17"/>
      <c r="C10" s="17">
        <v>6</v>
      </c>
      <c r="D10" s="11">
        <v>488</v>
      </c>
      <c r="E10" s="9">
        <v>45</v>
      </c>
      <c r="F10" s="10">
        <f t="shared" si="0"/>
        <v>9.221311475409836</v>
      </c>
      <c r="G10" s="11">
        <v>488</v>
      </c>
      <c r="H10" s="9">
        <v>58</v>
      </c>
      <c r="I10" s="12">
        <f t="shared" si="1"/>
        <v>11.885245901639344</v>
      </c>
      <c r="J10" s="9">
        <v>514</v>
      </c>
      <c r="K10" s="9">
        <v>84</v>
      </c>
      <c r="L10" s="10">
        <f t="shared" si="2"/>
        <v>16.342412451361866</v>
      </c>
      <c r="M10" s="9"/>
      <c r="N10" s="9">
        <v>166</v>
      </c>
      <c r="O10" s="7" t="e">
        <f t="shared" si="3"/>
        <v>#DIV/0!</v>
      </c>
    </row>
    <row r="11" spans="1:15" ht="29" x14ac:dyDescent="0.45">
      <c r="A11" s="13" t="s">
        <v>7</v>
      </c>
      <c r="B11" s="17"/>
      <c r="C11" s="17">
        <v>21</v>
      </c>
      <c r="D11" s="11">
        <v>224</v>
      </c>
      <c r="E11" s="9">
        <v>15</v>
      </c>
      <c r="F11" s="10">
        <f t="shared" si="0"/>
        <v>6.6964285714285712</v>
      </c>
      <c r="G11" s="11">
        <v>224</v>
      </c>
      <c r="H11" s="9">
        <v>46</v>
      </c>
      <c r="I11" s="12">
        <f t="shared" si="1"/>
        <v>20.535714285714285</v>
      </c>
      <c r="J11" s="9">
        <v>243</v>
      </c>
      <c r="K11" s="9">
        <v>100</v>
      </c>
      <c r="L11" s="10">
        <f t="shared" si="2"/>
        <v>41.152263374485599</v>
      </c>
      <c r="M11" s="9"/>
      <c r="N11" s="9">
        <v>121</v>
      </c>
      <c r="O11" s="7" t="e">
        <f t="shared" si="3"/>
        <v>#DIV/0!</v>
      </c>
    </row>
    <row r="12" spans="1:15" ht="16.5" x14ac:dyDescent="0.45">
      <c r="A12" s="13" t="s">
        <v>8</v>
      </c>
      <c r="B12" s="17"/>
      <c r="C12" s="17">
        <v>9</v>
      </c>
      <c r="D12" s="11">
        <v>135</v>
      </c>
      <c r="E12" s="9">
        <v>33</v>
      </c>
      <c r="F12" s="10">
        <f t="shared" si="0"/>
        <v>24.444444444444443</v>
      </c>
      <c r="G12" s="11">
        <v>135</v>
      </c>
      <c r="H12" s="9">
        <v>28</v>
      </c>
      <c r="I12" s="12">
        <f t="shared" si="1"/>
        <v>20.74074074074074</v>
      </c>
      <c r="J12" s="9">
        <v>190</v>
      </c>
      <c r="K12" s="9">
        <v>50</v>
      </c>
      <c r="L12" s="10">
        <f t="shared" si="2"/>
        <v>26.315789473684209</v>
      </c>
      <c r="M12" s="9"/>
      <c r="N12" s="9">
        <v>200</v>
      </c>
      <c r="O12" s="7" t="e">
        <f t="shared" si="3"/>
        <v>#DIV/0!</v>
      </c>
    </row>
    <row r="13" spans="1:15" ht="29" x14ac:dyDescent="0.45">
      <c r="A13" s="13" t="s">
        <v>9</v>
      </c>
      <c r="B13" s="17"/>
      <c r="C13" s="17">
        <v>57</v>
      </c>
      <c r="D13" s="11">
        <v>1283</v>
      </c>
      <c r="E13" s="9">
        <v>110</v>
      </c>
      <c r="F13" s="10">
        <f t="shared" si="0"/>
        <v>8.5736554949337496</v>
      </c>
      <c r="G13" s="11">
        <v>1283</v>
      </c>
      <c r="H13" s="9">
        <v>112</v>
      </c>
      <c r="I13" s="12">
        <f t="shared" si="1"/>
        <v>8.7295401402961819</v>
      </c>
      <c r="J13" s="9">
        <v>1399</v>
      </c>
      <c r="K13" s="9">
        <v>123</v>
      </c>
      <c r="L13" s="10">
        <f t="shared" si="2"/>
        <v>8.7919942816297354</v>
      </c>
      <c r="M13" s="9"/>
      <c r="N13" s="9">
        <v>46</v>
      </c>
      <c r="O13" s="7" t="e">
        <f t="shared" si="3"/>
        <v>#DIV/0!</v>
      </c>
    </row>
    <row r="14" spans="1:15" ht="16.5" x14ac:dyDescent="0.45">
      <c r="A14" s="13" t="s">
        <v>10</v>
      </c>
      <c r="B14" s="17"/>
      <c r="C14" s="17">
        <v>6</v>
      </c>
      <c r="D14" s="11">
        <v>581</v>
      </c>
      <c r="E14" s="9">
        <v>66</v>
      </c>
      <c r="F14" s="10">
        <f t="shared" si="0"/>
        <v>11.359724612736661</v>
      </c>
      <c r="G14" s="11">
        <v>581</v>
      </c>
      <c r="H14" s="9">
        <v>72</v>
      </c>
      <c r="I14" s="12">
        <f t="shared" si="1"/>
        <v>12.392426850258175</v>
      </c>
      <c r="J14" s="9">
        <v>608</v>
      </c>
      <c r="K14" s="9">
        <v>64</v>
      </c>
      <c r="L14" s="10">
        <f t="shared" si="2"/>
        <v>10.526315789473683</v>
      </c>
      <c r="M14" s="9"/>
      <c r="N14" s="9">
        <v>480</v>
      </c>
      <c r="O14" s="7" t="e">
        <f t="shared" si="3"/>
        <v>#DIV/0!</v>
      </c>
    </row>
    <row r="15" spans="1:15" ht="16.5" x14ac:dyDescent="0.45">
      <c r="A15" s="13" t="s">
        <v>11</v>
      </c>
      <c r="B15" s="17"/>
      <c r="C15" s="17">
        <v>19</v>
      </c>
      <c r="D15" s="11">
        <v>166</v>
      </c>
      <c r="E15" s="9">
        <v>11</v>
      </c>
      <c r="F15" s="10">
        <f t="shared" si="0"/>
        <v>6.6265060240963862</v>
      </c>
      <c r="G15" s="11">
        <v>166</v>
      </c>
      <c r="H15" s="9">
        <v>27</v>
      </c>
      <c r="I15" s="12">
        <f t="shared" si="1"/>
        <v>16.265060240963855</v>
      </c>
      <c r="J15" s="9">
        <v>177</v>
      </c>
      <c r="K15" s="9">
        <v>41</v>
      </c>
      <c r="L15" s="10">
        <f t="shared" si="2"/>
        <v>23.163841807909606</v>
      </c>
      <c r="M15" s="9"/>
      <c r="N15" s="9">
        <v>111</v>
      </c>
      <c r="O15" s="7" t="e">
        <f t="shared" si="3"/>
        <v>#DIV/0!</v>
      </c>
    </row>
    <row r="16" spans="1:15" ht="16.5" x14ac:dyDescent="0.45">
      <c r="A16" s="13" t="s">
        <v>12</v>
      </c>
      <c r="B16" s="17"/>
      <c r="C16" s="17">
        <v>38</v>
      </c>
      <c r="D16" s="11">
        <v>952</v>
      </c>
      <c r="E16" s="9">
        <v>59</v>
      </c>
      <c r="F16" s="10">
        <f t="shared" si="0"/>
        <v>6.1974789915966388</v>
      </c>
      <c r="G16" s="11">
        <v>952</v>
      </c>
      <c r="H16" s="9">
        <v>57</v>
      </c>
      <c r="I16" s="12">
        <f t="shared" si="1"/>
        <v>5.9873949579831933</v>
      </c>
      <c r="J16" s="9">
        <v>851</v>
      </c>
      <c r="K16" s="9">
        <v>124</v>
      </c>
      <c r="L16" s="10">
        <f t="shared" si="2"/>
        <v>14.571092831962398</v>
      </c>
      <c r="M16" s="9"/>
      <c r="N16" s="9">
        <v>121</v>
      </c>
      <c r="O16" s="7" t="e">
        <f t="shared" si="3"/>
        <v>#DIV/0!</v>
      </c>
    </row>
    <row r="17" spans="1:15" ht="29" x14ac:dyDescent="0.45">
      <c r="A17" s="13" t="s">
        <v>13</v>
      </c>
      <c r="B17" s="17"/>
      <c r="C17" s="17">
        <v>8</v>
      </c>
      <c r="D17" s="11">
        <v>403</v>
      </c>
      <c r="E17" s="9">
        <v>121</v>
      </c>
      <c r="F17" s="10">
        <f t="shared" si="0"/>
        <v>30.024813895781637</v>
      </c>
      <c r="G17" s="11">
        <v>403</v>
      </c>
      <c r="H17" s="9">
        <v>82</v>
      </c>
      <c r="I17" s="12">
        <f t="shared" si="1"/>
        <v>20.347394540942929</v>
      </c>
      <c r="J17" s="9">
        <v>254</v>
      </c>
      <c r="K17" s="9">
        <v>97</v>
      </c>
      <c r="L17" s="10">
        <f t="shared" si="2"/>
        <v>38.188976377952756</v>
      </c>
      <c r="M17" s="9"/>
      <c r="N17" s="9">
        <v>234</v>
      </c>
      <c r="O17" s="7" t="e">
        <f t="shared" si="3"/>
        <v>#DIV/0!</v>
      </c>
    </row>
    <row r="18" spans="1:15" ht="16.5" x14ac:dyDescent="0.45">
      <c r="A18" s="14" t="s">
        <v>14</v>
      </c>
      <c r="B18" s="17"/>
      <c r="C18" s="17">
        <v>1</v>
      </c>
      <c r="D18" s="11">
        <v>643</v>
      </c>
      <c r="E18" s="9">
        <v>113</v>
      </c>
      <c r="F18" s="10">
        <f t="shared" si="0"/>
        <v>17.573872472783826</v>
      </c>
      <c r="G18" s="11">
        <v>643</v>
      </c>
      <c r="H18" s="9">
        <v>71</v>
      </c>
      <c r="I18" s="12">
        <f t="shared" si="1"/>
        <v>11.041990668740279</v>
      </c>
      <c r="J18" s="9">
        <v>843</v>
      </c>
      <c r="K18" s="9">
        <v>91</v>
      </c>
      <c r="L18" s="10">
        <f t="shared" si="2"/>
        <v>10.794780545670225</v>
      </c>
      <c r="M18" s="9"/>
      <c r="N18" s="9">
        <v>211</v>
      </c>
      <c r="O18" s="7" t="e">
        <f t="shared" si="3"/>
        <v>#DIV/0!</v>
      </c>
    </row>
    <row r="19" spans="1:15" ht="43.5" x14ac:dyDescent="0.45">
      <c r="A19" s="14" t="s">
        <v>15</v>
      </c>
      <c r="B19" s="17"/>
      <c r="C19" s="17">
        <v>0</v>
      </c>
      <c r="D19" s="11">
        <v>236</v>
      </c>
      <c r="E19" s="9">
        <v>27</v>
      </c>
      <c r="F19" s="10">
        <f t="shared" si="0"/>
        <v>11.440677966101696</v>
      </c>
      <c r="G19" s="11">
        <v>236</v>
      </c>
      <c r="H19" s="9">
        <v>29</v>
      </c>
      <c r="I19" s="12">
        <f t="shared" si="1"/>
        <v>12.288135593220339</v>
      </c>
      <c r="J19" s="9">
        <v>231</v>
      </c>
      <c r="K19" s="9">
        <v>29</v>
      </c>
      <c r="L19" s="10">
        <f t="shared" si="2"/>
        <v>12.554112554112553</v>
      </c>
      <c r="M19" s="9"/>
      <c r="N19" s="9">
        <v>93</v>
      </c>
      <c r="O19" s="7" t="e">
        <f t="shared" si="3"/>
        <v>#DIV/0!</v>
      </c>
    </row>
    <row r="20" spans="1:15" ht="29" x14ac:dyDescent="0.45">
      <c r="A20" s="14" t="s">
        <v>16</v>
      </c>
      <c r="B20" s="17"/>
      <c r="C20" s="17">
        <v>34</v>
      </c>
      <c r="D20" s="11">
        <v>5736</v>
      </c>
      <c r="E20" s="9">
        <v>824</v>
      </c>
      <c r="F20" s="10">
        <f t="shared" si="0"/>
        <v>14.365411436541143</v>
      </c>
      <c r="G20" s="11">
        <v>5736</v>
      </c>
      <c r="H20" s="9">
        <v>564</v>
      </c>
      <c r="I20" s="12">
        <f t="shared" si="1"/>
        <v>9.8326359832635983</v>
      </c>
      <c r="J20" s="9">
        <v>6878</v>
      </c>
      <c r="K20" s="9">
        <v>652</v>
      </c>
      <c r="L20" s="10">
        <f t="shared" si="2"/>
        <v>9.479499854608898</v>
      </c>
      <c r="M20" s="9"/>
      <c r="N20" s="9">
        <v>2376</v>
      </c>
      <c r="O20" s="7" t="e">
        <f t="shared" si="3"/>
        <v>#DIV/0!</v>
      </c>
    </row>
    <row r="21" spans="1:15" ht="16.5" x14ac:dyDescent="0.45">
      <c r="A21" s="14" t="s">
        <v>17</v>
      </c>
      <c r="B21" s="17"/>
      <c r="C21" s="17">
        <v>9</v>
      </c>
      <c r="D21" s="11">
        <v>2230</v>
      </c>
      <c r="E21" s="9">
        <v>378</v>
      </c>
      <c r="F21" s="10">
        <f t="shared" si="0"/>
        <v>16.95067264573991</v>
      </c>
      <c r="G21" s="11">
        <v>2230</v>
      </c>
      <c r="H21" s="9">
        <v>343</v>
      </c>
      <c r="I21" s="12">
        <f t="shared" si="1"/>
        <v>15.381165919282511</v>
      </c>
      <c r="J21" s="9">
        <v>2609</v>
      </c>
      <c r="K21" s="9">
        <v>427</v>
      </c>
      <c r="L21" s="10">
        <f t="shared" si="2"/>
        <v>16.366423917209659</v>
      </c>
      <c r="M21" s="9"/>
      <c r="N21" s="9">
        <v>2797</v>
      </c>
      <c r="O21" s="7" t="e">
        <f t="shared" si="3"/>
        <v>#DIV/0!</v>
      </c>
    </row>
    <row r="22" spans="1:15" ht="16.5" x14ac:dyDescent="0.45">
      <c r="A22" s="14" t="s">
        <v>18</v>
      </c>
      <c r="B22" s="17"/>
      <c r="C22" s="17">
        <v>0</v>
      </c>
      <c r="D22" s="11">
        <v>543</v>
      </c>
      <c r="E22" s="9">
        <v>99</v>
      </c>
      <c r="F22" s="10">
        <f t="shared" si="0"/>
        <v>18.232044198895029</v>
      </c>
      <c r="G22" s="11">
        <v>543</v>
      </c>
      <c r="H22" s="9">
        <v>96</v>
      </c>
      <c r="I22" s="12">
        <f t="shared" si="1"/>
        <v>17.679558011049721</v>
      </c>
      <c r="J22" s="9">
        <v>634</v>
      </c>
      <c r="K22" s="9">
        <v>139</v>
      </c>
      <c r="L22" s="10">
        <f t="shared" si="2"/>
        <v>21.92429022082019</v>
      </c>
      <c r="M22" s="9"/>
      <c r="N22" s="9">
        <v>439</v>
      </c>
      <c r="O22" s="7" t="e">
        <f t="shared" si="3"/>
        <v>#DIV/0!</v>
      </c>
    </row>
    <row r="23" spans="1:15" ht="16.5" x14ac:dyDescent="0.45">
      <c r="A23" s="14" t="s">
        <v>19</v>
      </c>
      <c r="B23" s="17"/>
      <c r="C23" s="17">
        <v>0</v>
      </c>
      <c r="D23" s="11">
        <v>284</v>
      </c>
      <c r="E23" s="9">
        <v>56</v>
      </c>
      <c r="F23" s="10">
        <f t="shared" si="0"/>
        <v>19.718309859154928</v>
      </c>
      <c r="G23" s="11">
        <v>284</v>
      </c>
      <c r="H23" s="9">
        <v>44</v>
      </c>
      <c r="I23" s="12">
        <f t="shared" si="1"/>
        <v>15.492957746478872</v>
      </c>
      <c r="J23" s="9">
        <v>376</v>
      </c>
      <c r="K23" s="9">
        <v>104</v>
      </c>
      <c r="L23" s="10">
        <f t="shared" si="2"/>
        <v>27.659574468085108</v>
      </c>
      <c r="M23" s="9"/>
      <c r="N23" s="9">
        <v>255</v>
      </c>
      <c r="O23" s="7" t="e">
        <f t="shared" si="3"/>
        <v>#DIV/0!</v>
      </c>
    </row>
    <row r="24" spans="1:15" ht="29" x14ac:dyDescent="0.45">
      <c r="A24" s="14" t="s">
        <v>20</v>
      </c>
      <c r="B24" s="17"/>
      <c r="C24" s="17">
        <v>0</v>
      </c>
      <c r="D24" s="11">
        <v>220</v>
      </c>
      <c r="E24" s="9">
        <v>32</v>
      </c>
      <c r="F24" s="10">
        <f t="shared" si="0"/>
        <v>14.545454545454545</v>
      </c>
      <c r="G24" s="11">
        <v>220</v>
      </c>
      <c r="H24" s="9">
        <v>47</v>
      </c>
      <c r="I24" s="12">
        <f t="shared" si="1"/>
        <v>21.363636363636363</v>
      </c>
      <c r="J24" s="9">
        <v>212</v>
      </c>
      <c r="K24" s="9">
        <v>115</v>
      </c>
      <c r="L24" s="10">
        <f t="shared" si="2"/>
        <v>54.24528301886793</v>
      </c>
      <c r="M24" s="9"/>
      <c r="N24" s="9">
        <v>14</v>
      </c>
      <c r="O24" s="7" t="e">
        <f t="shared" si="3"/>
        <v>#DIV/0!</v>
      </c>
    </row>
    <row r="25" spans="1:15" ht="29" x14ac:dyDescent="0.45">
      <c r="A25" s="14" t="s">
        <v>21</v>
      </c>
      <c r="B25" s="17"/>
      <c r="C25" s="17">
        <v>0</v>
      </c>
      <c r="D25" s="11">
        <v>228</v>
      </c>
      <c r="E25" s="9">
        <v>27</v>
      </c>
      <c r="F25" s="10">
        <f t="shared" si="0"/>
        <v>11.842105263157894</v>
      </c>
      <c r="G25" s="11">
        <v>228</v>
      </c>
      <c r="H25" s="9">
        <v>21</v>
      </c>
      <c r="I25" s="12">
        <f t="shared" si="1"/>
        <v>9.2105263157894726</v>
      </c>
      <c r="J25" s="9">
        <v>219</v>
      </c>
      <c r="K25" s="9">
        <v>34</v>
      </c>
      <c r="L25" s="10">
        <f t="shared" si="2"/>
        <v>15.52511415525114</v>
      </c>
      <c r="M25" s="9"/>
      <c r="N25" s="9">
        <v>205</v>
      </c>
      <c r="O25" s="7" t="e">
        <f t="shared" si="3"/>
        <v>#DIV/0!</v>
      </c>
    </row>
    <row r="26" spans="1:15" ht="29" x14ac:dyDescent="0.45">
      <c r="A26" s="14" t="s">
        <v>22</v>
      </c>
      <c r="B26" s="17"/>
      <c r="C26" s="17">
        <v>0</v>
      </c>
      <c r="D26" s="11">
        <v>33</v>
      </c>
      <c r="E26" s="9">
        <v>17</v>
      </c>
      <c r="F26" s="10">
        <f t="shared" si="0"/>
        <v>51.515151515151516</v>
      </c>
      <c r="G26" s="11">
        <v>33</v>
      </c>
      <c r="H26" s="9">
        <v>5</v>
      </c>
      <c r="I26" s="12">
        <f t="shared" si="1"/>
        <v>15.151515151515152</v>
      </c>
      <c r="J26" s="9">
        <v>38</v>
      </c>
      <c r="K26" s="9">
        <v>2</v>
      </c>
      <c r="L26" s="10">
        <f t="shared" si="2"/>
        <v>5.2631578947368416</v>
      </c>
      <c r="M26" s="9"/>
      <c r="N26" s="9">
        <v>150</v>
      </c>
      <c r="O26" s="7" t="e">
        <f t="shared" si="3"/>
        <v>#DIV/0!</v>
      </c>
    </row>
    <row r="27" spans="1:15" ht="29" x14ac:dyDescent="0.45">
      <c r="A27" s="14" t="s">
        <v>23</v>
      </c>
      <c r="B27" s="17"/>
      <c r="C27" s="17">
        <v>0</v>
      </c>
      <c r="D27" s="11">
        <v>38</v>
      </c>
      <c r="E27" s="9">
        <v>6</v>
      </c>
      <c r="F27" s="10">
        <f t="shared" si="0"/>
        <v>15.789473684210526</v>
      </c>
      <c r="G27" s="11">
        <v>38</v>
      </c>
      <c r="H27" s="9">
        <v>3</v>
      </c>
      <c r="I27" s="12">
        <f t="shared" si="1"/>
        <v>7.8947368421052628</v>
      </c>
      <c r="J27" s="9">
        <v>41</v>
      </c>
      <c r="K27" s="9">
        <v>4</v>
      </c>
      <c r="L27" s="10">
        <f t="shared" si="2"/>
        <v>9.7560975609756095</v>
      </c>
      <c r="M27" s="9"/>
      <c r="N27" s="9">
        <v>70</v>
      </c>
      <c r="O27" s="7" t="e">
        <f t="shared" si="3"/>
        <v>#DIV/0!</v>
      </c>
    </row>
    <row r="28" spans="1:15" ht="16.5" x14ac:dyDescent="0.45">
      <c r="A28" s="14" t="s">
        <v>24</v>
      </c>
      <c r="B28" s="17"/>
      <c r="C28" s="17">
        <v>0</v>
      </c>
      <c r="D28" s="11">
        <v>130</v>
      </c>
      <c r="E28" s="9">
        <v>10</v>
      </c>
      <c r="F28" s="10">
        <f t="shared" si="0"/>
        <v>7.6923076923076925</v>
      </c>
      <c r="G28" s="11">
        <v>130</v>
      </c>
      <c r="H28" s="9">
        <v>28</v>
      </c>
      <c r="I28" s="12">
        <f t="shared" si="1"/>
        <v>21.53846153846154</v>
      </c>
      <c r="J28" s="9">
        <v>140</v>
      </c>
      <c r="K28" s="9">
        <v>32</v>
      </c>
      <c r="L28" s="10">
        <f t="shared" si="2"/>
        <v>22.857142857142858</v>
      </c>
      <c r="M28" s="9"/>
      <c r="N28" s="9">
        <v>11</v>
      </c>
      <c r="O28" s="7" t="e">
        <f t="shared" si="3"/>
        <v>#DIV/0!</v>
      </c>
    </row>
    <row r="29" spans="1:15" ht="16.5" x14ac:dyDescent="0.45">
      <c r="A29" s="14" t="s">
        <v>25</v>
      </c>
      <c r="B29" s="17"/>
      <c r="C29" s="17">
        <v>0</v>
      </c>
      <c r="D29" s="11">
        <v>278</v>
      </c>
      <c r="E29" s="9">
        <v>60</v>
      </c>
      <c r="F29" s="10">
        <f t="shared" si="0"/>
        <v>21.582733812949641</v>
      </c>
      <c r="G29" s="11">
        <v>278</v>
      </c>
      <c r="H29" s="9">
        <v>68</v>
      </c>
      <c r="I29" s="12">
        <f t="shared" si="1"/>
        <v>24.46043165467626</v>
      </c>
      <c r="J29" s="9">
        <v>348</v>
      </c>
      <c r="K29" s="9">
        <v>127</v>
      </c>
      <c r="L29" s="10">
        <f t="shared" si="2"/>
        <v>36.494252873563219</v>
      </c>
      <c r="M29" s="9"/>
      <c r="N29" s="9">
        <v>65</v>
      </c>
      <c r="O29" s="7" t="e">
        <f t="shared" si="3"/>
        <v>#DIV/0!</v>
      </c>
    </row>
    <row r="30" spans="1:15" ht="16.5" x14ac:dyDescent="0.45">
      <c r="A30" s="15" t="s">
        <v>26</v>
      </c>
      <c r="B30" s="17"/>
      <c r="C30" s="17">
        <v>13</v>
      </c>
      <c r="D30" s="11">
        <v>499</v>
      </c>
      <c r="E30" s="9">
        <v>68</v>
      </c>
      <c r="F30" s="10">
        <f t="shared" si="0"/>
        <v>13.627254509018035</v>
      </c>
      <c r="G30" s="11">
        <v>499</v>
      </c>
      <c r="H30" s="9">
        <v>62</v>
      </c>
      <c r="I30" s="12">
        <f t="shared" si="1"/>
        <v>12.424849699398797</v>
      </c>
      <c r="J30" s="9">
        <v>560</v>
      </c>
      <c r="K30" s="9">
        <v>80</v>
      </c>
      <c r="L30" s="10">
        <f t="shared" si="2"/>
        <v>14.285714285714285</v>
      </c>
      <c r="M30" s="9"/>
      <c r="N30" s="9">
        <v>260</v>
      </c>
      <c r="O30" s="7" t="e">
        <f t="shared" si="3"/>
        <v>#DIV/0!</v>
      </c>
    </row>
    <row r="31" spans="1:15" ht="16.5" x14ac:dyDescent="0.45">
      <c r="A31" s="15" t="s">
        <v>27</v>
      </c>
      <c r="B31" s="17"/>
      <c r="C31" s="17">
        <v>0</v>
      </c>
      <c r="D31" s="11">
        <v>54</v>
      </c>
      <c r="E31" s="9">
        <v>7</v>
      </c>
      <c r="F31" s="10">
        <f t="shared" si="0"/>
        <v>12.962962962962962</v>
      </c>
      <c r="G31" s="11">
        <v>54</v>
      </c>
      <c r="H31" s="9">
        <v>20</v>
      </c>
      <c r="I31" s="12">
        <f t="shared" si="1"/>
        <v>37.037037037037038</v>
      </c>
      <c r="J31" s="9">
        <v>51</v>
      </c>
      <c r="K31" s="9">
        <v>26</v>
      </c>
      <c r="L31" s="10">
        <f t="shared" si="2"/>
        <v>50.980392156862742</v>
      </c>
      <c r="M31" s="9"/>
      <c r="N31" s="9">
        <v>11</v>
      </c>
      <c r="O31" s="7" t="e">
        <f t="shared" si="3"/>
        <v>#DIV/0!</v>
      </c>
    </row>
    <row r="32" spans="1:15" ht="16.5" x14ac:dyDescent="0.45">
      <c r="A32" s="15" t="s">
        <v>28</v>
      </c>
      <c r="B32" s="17"/>
      <c r="C32" s="17">
        <v>0</v>
      </c>
      <c r="D32" s="11">
        <v>137</v>
      </c>
      <c r="E32" s="9">
        <v>19</v>
      </c>
      <c r="F32" s="10">
        <f t="shared" si="0"/>
        <v>13.868613138686131</v>
      </c>
      <c r="G32" s="11">
        <v>137</v>
      </c>
      <c r="H32" s="9">
        <v>18</v>
      </c>
      <c r="I32" s="12">
        <f t="shared" si="1"/>
        <v>13.138686131386862</v>
      </c>
      <c r="J32" s="9">
        <v>184</v>
      </c>
      <c r="K32" s="9">
        <v>14</v>
      </c>
      <c r="L32" s="10">
        <f t="shared" si="2"/>
        <v>7.608695652173914</v>
      </c>
      <c r="M32" s="9"/>
      <c r="N32" s="9">
        <v>4</v>
      </c>
      <c r="O32" s="7" t="e">
        <f t="shared" si="3"/>
        <v>#DIV/0!</v>
      </c>
    </row>
    <row r="33" spans="1:15" ht="16.5" x14ac:dyDescent="0.45">
      <c r="A33" s="15" t="s">
        <v>29</v>
      </c>
      <c r="B33" s="17"/>
      <c r="C33" s="17">
        <v>0</v>
      </c>
      <c r="D33" s="11">
        <v>443</v>
      </c>
      <c r="E33" s="9">
        <v>183</v>
      </c>
      <c r="F33" s="10">
        <f t="shared" si="0"/>
        <v>41.309255079006775</v>
      </c>
      <c r="G33" s="11">
        <v>443</v>
      </c>
      <c r="H33" s="9">
        <v>204</v>
      </c>
      <c r="I33" s="12">
        <f t="shared" si="1"/>
        <v>46.049661399548533</v>
      </c>
      <c r="J33" s="9">
        <v>425</v>
      </c>
      <c r="K33" s="9">
        <v>175</v>
      </c>
      <c r="L33" s="10">
        <f t="shared" si="2"/>
        <v>41.17647058823529</v>
      </c>
      <c r="M33" s="9"/>
      <c r="N33" s="9">
        <v>626</v>
      </c>
      <c r="O33" s="7" t="e">
        <f t="shared" si="3"/>
        <v>#DIV/0!</v>
      </c>
    </row>
    <row r="34" spans="1:15" ht="16.5" x14ac:dyDescent="0.45">
      <c r="A34" s="15" t="s">
        <v>30</v>
      </c>
      <c r="B34" s="17"/>
      <c r="C34" s="17">
        <v>0</v>
      </c>
      <c r="D34" s="11">
        <v>99</v>
      </c>
      <c r="E34" s="9">
        <v>13</v>
      </c>
      <c r="F34" s="10">
        <f t="shared" si="0"/>
        <v>13.131313131313133</v>
      </c>
      <c r="G34" s="11">
        <v>99</v>
      </c>
      <c r="H34" s="9">
        <v>12</v>
      </c>
      <c r="I34" s="12">
        <f t="shared" si="1"/>
        <v>12.121212121212121</v>
      </c>
      <c r="J34" s="9">
        <v>95</v>
      </c>
      <c r="K34" s="9">
        <v>4</v>
      </c>
      <c r="L34" s="10">
        <f t="shared" si="2"/>
        <v>4.2105263157894735</v>
      </c>
      <c r="M34" s="9"/>
      <c r="N34" s="9">
        <v>1</v>
      </c>
      <c r="O34" s="7" t="e">
        <f t="shared" si="3"/>
        <v>#DIV/0!</v>
      </c>
    </row>
    <row r="35" spans="1:15" ht="43.5" x14ac:dyDescent="0.45">
      <c r="A35" s="15" t="s">
        <v>31</v>
      </c>
      <c r="B35" s="17"/>
      <c r="C35" s="17">
        <v>11</v>
      </c>
      <c r="D35" s="11">
        <v>1467</v>
      </c>
      <c r="E35" s="9">
        <v>139</v>
      </c>
      <c r="F35" s="10">
        <f t="shared" si="0"/>
        <v>9.4751192910702109</v>
      </c>
      <c r="G35" s="11">
        <v>1467</v>
      </c>
      <c r="H35" s="9">
        <v>208</v>
      </c>
      <c r="I35" s="12">
        <f t="shared" si="1"/>
        <v>14.1785957736878</v>
      </c>
      <c r="J35" s="9">
        <v>1144</v>
      </c>
      <c r="K35" s="9">
        <v>118</v>
      </c>
      <c r="L35" s="10">
        <f t="shared" si="2"/>
        <v>10.314685314685315</v>
      </c>
      <c r="M35" s="9"/>
      <c r="N35" s="9">
        <v>338</v>
      </c>
      <c r="O35" s="7" t="e">
        <f t="shared" si="3"/>
        <v>#DIV/0!</v>
      </c>
    </row>
    <row r="36" spans="1:15" ht="29" x14ac:dyDescent="0.45">
      <c r="A36" s="15" t="s">
        <v>32</v>
      </c>
      <c r="B36" s="17"/>
      <c r="C36" s="17">
        <v>4</v>
      </c>
      <c r="D36" s="11">
        <v>30</v>
      </c>
      <c r="E36" s="9">
        <v>26</v>
      </c>
      <c r="F36" s="10">
        <f t="shared" si="0"/>
        <v>86.666666666666671</v>
      </c>
      <c r="G36" s="11">
        <v>30</v>
      </c>
      <c r="H36" s="9">
        <v>26</v>
      </c>
      <c r="I36" s="12">
        <f t="shared" si="1"/>
        <v>86.666666666666671</v>
      </c>
      <c r="J36" s="9">
        <v>50</v>
      </c>
      <c r="K36" s="9">
        <v>39</v>
      </c>
      <c r="L36" s="10">
        <f t="shared" si="2"/>
        <v>78</v>
      </c>
      <c r="M36" s="9"/>
      <c r="N36" s="9">
        <v>13</v>
      </c>
      <c r="O36" s="7" t="e">
        <f t="shared" si="3"/>
        <v>#DIV/0!</v>
      </c>
    </row>
    <row r="37" spans="1:15" ht="16.5" x14ac:dyDescent="0.45">
      <c r="A37" s="15" t="s">
        <v>33</v>
      </c>
      <c r="B37" s="17"/>
      <c r="C37" s="17">
        <v>0</v>
      </c>
      <c r="D37" s="11">
        <v>112</v>
      </c>
      <c r="E37" s="9">
        <v>23</v>
      </c>
      <c r="F37" s="10">
        <f t="shared" si="0"/>
        <v>20.535714285714285</v>
      </c>
      <c r="G37" s="11">
        <v>112</v>
      </c>
      <c r="H37" s="9">
        <v>14</v>
      </c>
      <c r="I37" s="12">
        <f t="shared" si="1"/>
        <v>12.5</v>
      </c>
      <c r="J37" s="9">
        <v>133</v>
      </c>
      <c r="K37" s="9">
        <v>30</v>
      </c>
      <c r="L37" s="10">
        <f t="shared" si="2"/>
        <v>22.556390977443609</v>
      </c>
      <c r="M37" s="9"/>
      <c r="N37" s="9">
        <v>1</v>
      </c>
      <c r="O37" s="7" t="e">
        <f t="shared" si="3"/>
        <v>#DIV/0!</v>
      </c>
    </row>
    <row r="38" spans="1:15" ht="29" x14ac:dyDescent="0.45">
      <c r="A38" s="16" t="s">
        <v>34</v>
      </c>
      <c r="B38" s="17"/>
      <c r="C38" s="17">
        <v>0</v>
      </c>
      <c r="D38" s="11">
        <v>61</v>
      </c>
      <c r="E38" s="9">
        <v>6</v>
      </c>
      <c r="F38" s="10">
        <f t="shared" si="0"/>
        <v>9.8360655737704921</v>
      </c>
      <c r="G38" s="11">
        <v>61</v>
      </c>
      <c r="H38" s="9">
        <v>13</v>
      </c>
      <c r="I38" s="12">
        <f t="shared" si="1"/>
        <v>21.311475409836063</v>
      </c>
      <c r="J38" s="9">
        <v>105</v>
      </c>
      <c r="K38" s="9">
        <v>11</v>
      </c>
      <c r="L38" s="10">
        <f t="shared" si="2"/>
        <v>10.476190476190476</v>
      </c>
      <c r="M38" s="9"/>
      <c r="N38" s="9">
        <v>46</v>
      </c>
      <c r="O38" s="7" t="e">
        <f t="shared" si="3"/>
        <v>#DIV/0!</v>
      </c>
    </row>
    <row r="39" spans="1:15" ht="16.5" x14ac:dyDescent="0.45">
      <c r="A39" s="16" t="s">
        <v>35</v>
      </c>
      <c r="B39" s="17"/>
      <c r="C39" s="17">
        <v>0</v>
      </c>
      <c r="D39" s="11">
        <v>117</v>
      </c>
      <c r="E39" s="9">
        <v>15</v>
      </c>
      <c r="F39" s="10">
        <f t="shared" si="0"/>
        <v>12.820512820512819</v>
      </c>
      <c r="G39" s="11">
        <v>117</v>
      </c>
      <c r="H39" s="9">
        <v>18</v>
      </c>
      <c r="I39" s="12">
        <f t="shared" si="1"/>
        <v>15.384615384615385</v>
      </c>
      <c r="J39" s="9">
        <v>64</v>
      </c>
      <c r="K39" s="9">
        <v>30</v>
      </c>
      <c r="L39" s="10">
        <f t="shared" si="2"/>
        <v>46.875</v>
      </c>
      <c r="M39" s="9"/>
      <c r="N39" s="9">
        <v>207</v>
      </c>
      <c r="O39" s="7" t="e">
        <f t="shared" si="3"/>
        <v>#DIV/0!</v>
      </c>
    </row>
    <row r="40" spans="1:15" ht="16.5" x14ac:dyDescent="0.45">
      <c r="A40" s="16" t="s">
        <v>36</v>
      </c>
      <c r="B40" s="17"/>
      <c r="C40" s="17">
        <v>0</v>
      </c>
      <c r="D40" s="11">
        <v>62</v>
      </c>
      <c r="E40" s="9">
        <v>4</v>
      </c>
      <c r="F40" s="10">
        <f t="shared" si="0"/>
        <v>6.4516129032258061</v>
      </c>
      <c r="G40" s="11">
        <v>62</v>
      </c>
      <c r="H40" s="9">
        <v>11</v>
      </c>
      <c r="I40" s="12">
        <f t="shared" si="1"/>
        <v>17.741935483870968</v>
      </c>
      <c r="J40" s="9">
        <v>69</v>
      </c>
      <c r="K40" s="9">
        <v>11</v>
      </c>
      <c r="L40" s="10">
        <f t="shared" si="2"/>
        <v>15.942028985507244</v>
      </c>
      <c r="M40" s="9"/>
      <c r="N40" s="9">
        <v>64</v>
      </c>
      <c r="O40" s="7" t="e">
        <f t="shared" si="3"/>
        <v>#DIV/0!</v>
      </c>
    </row>
    <row r="41" spans="1:15" ht="16.5" x14ac:dyDescent="0.45">
      <c r="A41" s="16" t="s">
        <v>37</v>
      </c>
      <c r="B41" s="17"/>
      <c r="C41" s="17">
        <v>0</v>
      </c>
      <c r="D41" s="11">
        <v>62</v>
      </c>
      <c r="E41" s="9">
        <v>7</v>
      </c>
      <c r="F41" s="10">
        <f t="shared" si="0"/>
        <v>11.29032258064516</v>
      </c>
      <c r="G41" s="11">
        <v>62</v>
      </c>
      <c r="H41" s="9">
        <v>4</v>
      </c>
      <c r="I41" s="12">
        <f t="shared" si="1"/>
        <v>6.4516129032258061</v>
      </c>
      <c r="J41" s="9">
        <v>75</v>
      </c>
      <c r="K41" s="9">
        <v>13</v>
      </c>
      <c r="L41" s="10">
        <f t="shared" si="2"/>
        <v>17.333333333333336</v>
      </c>
      <c r="M41" s="9"/>
      <c r="N41" s="9">
        <v>71</v>
      </c>
      <c r="O41" s="7" t="e">
        <f t="shared" si="3"/>
        <v>#DIV/0!</v>
      </c>
    </row>
    <row r="42" spans="1:15" ht="16.5" x14ac:dyDescent="0.45">
      <c r="A42" s="16" t="s">
        <v>38</v>
      </c>
      <c r="B42" s="17"/>
      <c r="C42" s="17">
        <v>0</v>
      </c>
      <c r="D42" s="11">
        <v>130</v>
      </c>
      <c r="E42" s="9">
        <v>19</v>
      </c>
      <c r="F42" s="10">
        <f t="shared" si="0"/>
        <v>14.615384615384617</v>
      </c>
      <c r="G42" s="11">
        <v>130</v>
      </c>
      <c r="H42" s="9">
        <v>15</v>
      </c>
      <c r="I42" s="12">
        <f t="shared" si="1"/>
        <v>11.538461538461538</v>
      </c>
      <c r="J42" s="9">
        <v>123</v>
      </c>
      <c r="K42" s="9">
        <v>42</v>
      </c>
      <c r="L42" s="10">
        <f t="shared" si="2"/>
        <v>34.146341463414636</v>
      </c>
      <c r="M42" s="9"/>
      <c r="N42" s="9">
        <v>162</v>
      </c>
      <c r="O42" s="7" t="e">
        <f t="shared" si="3"/>
        <v>#DIV/0!</v>
      </c>
    </row>
    <row r="43" spans="1:15" ht="16.5" x14ac:dyDescent="0.45">
      <c r="A43" s="16" t="s">
        <v>39</v>
      </c>
      <c r="B43" s="17"/>
      <c r="C43" s="17">
        <v>0</v>
      </c>
      <c r="D43" s="11">
        <v>259</v>
      </c>
      <c r="E43" s="9">
        <v>43</v>
      </c>
      <c r="F43" s="10">
        <f t="shared" si="0"/>
        <v>16.602316602316602</v>
      </c>
      <c r="G43" s="11">
        <v>259</v>
      </c>
      <c r="H43" s="9">
        <v>37</v>
      </c>
      <c r="I43" s="12">
        <f t="shared" si="1"/>
        <v>14.285714285714285</v>
      </c>
      <c r="J43" s="9">
        <v>208</v>
      </c>
      <c r="K43" s="9">
        <v>30</v>
      </c>
      <c r="L43" s="10">
        <f t="shared" si="2"/>
        <v>14.423076923076922</v>
      </c>
      <c r="M43" s="9"/>
      <c r="N43" s="9">
        <v>274</v>
      </c>
      <c r="O43" s="7" t="e">
        <f t="shared" si="3"/>
        <v>#DIV/0!</v>
      </c>
    </row>
    <row r="44" spans="1:15" ht="29" x14ac:dyDescent="0.45">
      <c r="A44" s="16" t="s">
        <v>40</v>
      </c>
      <c r="B44" s="17"/>
      <c r="C44" s="17">
        <v>0</v>
      </c>
      <c r="D44" s="11">
        <v>36</v>
      </c>
      <c r="E44" s="9">
        <v>2</v>
      </c>
      <c r="F44" s="10">
        <f t="shared" si="0"/>
        <v>5.5555555555555554</v>
      </c>
      <c r="G44" s="11">
        <v>36</v>
      </c>
      <c r="H44" s="9">
        <v>3</v>
      </c>
      <c r="I44" s="12">
        <f t="shared" si="1"/>
        <v>8.3333333333333321</v>
      </c>
      <c r="J44" s="9">
        <v>36</v>
      </c>
      <c r="K44" s="9">
        <v>9</v>
      </c>
      <c r="L44" s="10">
        <f t="shared" si="2"/>
        <v>25</v>
      </c>
      <c r="M44" s="9"/>
      <c r="N44" s="9">
        <v>0</v>
      </c>
      <c r="O44" s="7" t="e">
        <f t="shared" si="3"/>
        <v>#DIV/0!</v>
      </c>
    </row>
    <row r="45" spans="1:15" ht="29" x14ac:dyDescent="0.45">
      <c r="A45" s="16" t="s">
        <v>41</v>
      </c>
      <c r="B45" s="17"/>
      <c r="C45" s="17">
        <v>4</v>
      </c>
      <c r="D45" s="11">
        <v>129</v>
      </c>
      <c r="E45" s="9">
        <v>22</v>
      </c>
      <c r="F45" s="10">
        <f t="shared" si="0"/>
        <v>17.054263565891471</v>
      </c>
      <c r="G45" s="11">
        <v>129</v>
      </c>
      <c r="H45" s="9">
        <v>30</v>
      </c>
      <c r="I45" s="12">
        <f t="shared" si="1"/>
        <v>23.255813953488371</v>
      </c>
      <c r="J45" s="9">
        <v>153</v>
      </c>
      <c r="K45" s="9">
        <v>31</v>
      </c>
      <c r="L45" s="10">
        <f t="shared" si="2"/>
        <v>20.261437908496731</v>
      </c>
      <c r="M45" s="9"/>
      <c r="N45" s="9">
        <v>370</v>
      </c>
      <c r="O45" s="7" t="e">
        <f t="shared" si="3"/>
        <v>#DIV/0!</v>
      </c>
    </row>
    <row r="46" spans="1:15" x14ac:dyDescent="0.35">
      <c r="A46" s="40" t="s">
        <v>50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x14ac:dyDescent="0.35">
      <c r="A47" s="34" t="s">
        <v>51</v>
      </c>
      <c r="B47" s="34"/>
      <c r="C47" s="34"/>
      <c r="D47" s="34"/>
      <c r="E47" s="34"/>
    </row>
    <row r="48" spans="1:15" x14ac:dyDescent="0.35">
      <c r="A48" s="35" t="s">
        <v>52</v>
      </c>
      <c r="B48" s="35"/>
      <c r="C48" s="35"/>
      <c r="D48" s="35"/>
      <c r="E48" s="35"/>
    </row>
  </sheetData>
  <mergeCells count="8">
    <mergeCell ref="A46:L46"/>
    <mergeCell ref="A47:E47"/>
    <mergeCell ref="A48:E48"/>
    <mergeCell ref="A1:O1"/>
    <mergeCell ref="A2:O3"/>
    <mergeCell ref="A4:O4"/>
    <mergeCell ref="A5:L5"/>
    <mergeCell ref="M5:O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8"/>
  <sheetViews>
    <sheetView workbookViewId="0">
      <selection activeCell="M36" sqref="M36"/>
    </sheetView>
  </sheetViews>
  <sheetFormatPr baseColWidth="10" defaultRowHeight="14.5" x14ac:dyDescent="0.35"/>
  <sheetData>
    <row r="1" spans="1:15" ht="23.5" x14ac:dyDescent="0.55000000000000004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4.25" customHeight="1" x14ac:dyDescent="0.35">
      <c r="A2" s="37" t="s">
        <v>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4.2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8.75" customHeight="1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ht="15" customHeight="1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2" t="s">
        <v>49</v>
      </c>
      <c r="N5" s="42"/>
      <c r="O5" s="42"/>
    </row>
    <row r="6" spans="1:15" ht="43.5" x14ac:dyDescent="0.35">
      <c r="A6" s="5" t="s">
        <v>2</v>
      </c>
      <c r="B6" s="5" t="s">
        <v>42</v>
      </c>
      <c r="C6" s="6" t="s">
        <v>54</v>
      </c>
      <c r="D6" s="5" t="s">
        <v>42</v>
      </c>
      <c r="E6" s="6" t="s">
        <v>45</v>
      </c>
      <c r="F6" s="6" t="s">
        <v>44</v>
      </c>
      <c r="G6" s="5" t="s">
        <v>42</v>
      </c>
      <c r="H6" s="6" t="s">
        <v>46</v>
      </c>
      <c r="I6" s="6" t="s">
        <v>44</v>
      </c>
      <c r="J6" s="5" t="s">
        <v>42</v>
      </c>
      <c r="K6" s="6" t="s">
        <v>43</v>
      </c>
      <c r="L6" s="5" t="s">
        <v>44</v>
      </c>
      <c r="M6" s="5" t="s">
        <v>42</v>
      </c>
      <c r="N6" s="6" t="s">
        <v>48</v>
      </c>
      <c r="O6" s="5" t="s">
        <v>44</v>
      </c>
    </row>
    <row r="7" spans="1:15" ht="16.5" x14ac:dyDescent="0.45">
      <c r="A7" s="13" t="s">
        <v>3</v>
      </c>
      <c r="B7" s="17"/>
      <c r="C7" s="18">
        <v>408</v>
      </c>
      <c r="D7" s="11">
        <v>8431</v>
      </c>
      <c r="E7" s="7">
        <v>1551</v>
      </c>
      <c r="F7" s="10">
        <f t="shared" ref="F7:F45" si="0">SUM(E7/D7*100)</f>
        <v>18.396394259281223</v>
      </c>
      <c r="G7" s="11">
        <v>8431</v>
      </c>
      <c r="H7" s="8">
        <v>1219</v>
      </c>
      <c r="I7" s="12">
        <f>SUM(H7/G7*100)</f>
        <v>14.458545842723284</v>
      </c>
      <c r="J7" s="8">
        <v>10719</v>
      </c>
      <c r="K7" s="8">
        <v>1543</v>
      </c>
      <c r="L7" s="10">
        <f>SUM(K7/J7*100)</f>
        <v>14.394999533538577</v>
      </c>
      <c r="M7" s="8"/>
      <c r="N7" s="8">
        <v>8372</v>
      </c>
      <c r="O7" s="7" t="e">
        <f>SUM(N7/M7*100)</f>
        <v>#DIV/0!</v>
      </c>
    </row>
    <row r="8" spans="1:15" ht="29" x14ac:dyDescent="0.45">
      <c r="A8" s="13" t="s">
        <v>4</v>
      </c>
      <c r="B8" s="17"/>
      <c r="C8" s="17">
        <v>21</v>
      </c>
      <c r="D8" s="11">
        <v>576</v>
      </c>
      <c r="E8" s="9">
        <v>132</v>
      </c>
      <c r="F8" s="10">
        <f t="shared" si="0"/>
        <v>22.916666666666664</v>
      </c>
      <c r="G8" s="11">
        <v>576</v>
      </c>
      <c r="H8" s="9">
        <v>107</v>
      </c>
      <c r="I8" s="12">
        <f t="shared" ref="I8:I45" si="1">SUM(H8/G8*100)</f>
        <v>18.576388888888889</v>
      </c>
      <c r="J8" s="9">
        <v>657</v>
      </c>
      <c r="K8" s="9">
        <v>149</v>
      </c>
      <c r="L8" s="10">
        <f t="shared" ref="L8:L45" si="2">SUM(K8/J8*100)</f>
        <v>22.67884322678843</v>
      </c>
      <c r="M8" s="9"/>
      <c r="N8" s="9">
        <v>429</v>
      </c>
      <c r="O8" s="7" t="e">
        <f t="shared" ref="O8:O45" si="3">SUM(N8/M8*100)</f>
        <v>#DIV/0!</v>
      </c>
    </row>
    <row r="9" spans="1:15" ht="16.5" x14ac:dyDescent="0.45">
      <c r="A9" s="13" t="s">
        <v>5</v>
      </c>
      <c r="B9" s="17"/>
      <c r="C9" s="17">
        <v>69</v>
      </c>
      <c r="D9" s="11">
        <v>1425</v>
      </c>
      <c r="E9" s="9">
        <v>217</v>
      </c>
      <c r="F9" s="10">
        <f t="shared" si="0"/>
        <v>15.228070175438596</v>
      </c>
      <c r="G9" s="11">
        <v>1425</v>
      </c>
      <c r="H9" s="9">
        <v>183</v>
      </c>
      <c r="I9" s="12">
        <f t="shared" si="1"/>
        <v>12.842105263157894</v>
      </c>
      <c r="J9" s="9">
        <v>1082</v>
      </c>
      <c r="K9" s="9">
        <v>181</v>
      </c>
      <c r="L9" s="10">
        <f t="shared" si="2"/>
        <v>16.728280961182996</v>
      </c>
      <c r="M9" s="9"/>
      <c r="N9" s="9">
        <v>760</v>
      </c>
      <c r="O9" s="7" t="e">
        <f t="shared" si="3"/>
        <v>#DIV/0!</v>
      </c>
    </row>
    <row r="10" spans="1:15" ht="29" x14ac:dyDescent="0.45">
      <c r="A10" s="13" t="s">
        <v>6</v>
      </c>
      <c r="B10" s="17"/>
      <c r="C10" s="17">
        <v>6</v>
      </c>
      <c r="D10" s="11">
        <v>488</v>
      </c>
      <c r="E10" s="9">
        <v>45</v>
      </c>
      <c r="F10" s="10">
        <f t="shared" si="0"/>
        <v>9.221311475409836</v>
      </c>
      <c r="G10" s="11">
        <v>488</v>
      </c>
      <c r="H10" s="9">
        <v>58</v>
      </c>
      <c r="I10" s="12">
        <f t="shared" si="1"/>
        <v>11.885245901639344</v>
      </c>
      <c r="J10" s="9">
        <v>514</v>
      </c>
      <c r="K10" s="9">
        <v>84</v>
      </c>
      <c r="L10" s="10">
        <f t="shared" si="2"/>
        <v>16.342412451361866</v>
      </c>
      <c r="M10" s="9"/>
      <c r="N10" s="9">
        <v>256</v>
      </c>
      <c r="O10" s="7" t="e">
        <f t="shared" si="3"/>
        <v>#DIV/0!</v>
      </c>
    </row>
    <row r="11" spans="1:15" ht="29" x14ac:dyDescent="0.45">
      <c r="A11" s="13" t="s">
        <v>7</v>
      </c>
      <c r="B11" s="17"/>
      <c r="C11" s="17">
        <v>23</v>
      </c>
      <c r="D11" s="11">
        <v>224</v>
      </c>
      <c r="E11" s="9">
        <v>20</v>
      </c>
      <c r="F11" s="10">
        <f t="shared" si="0"/>
        <v>8.9285714285714288</v>
      </c>
      <c r="G11" s="11">
        <v>224</v>
      </c>
      <c r="H11" s="9">
        <v>52</v>
      </c>
      <c r="I11" s="12">
        <f t="shared" si="1"/>
        <v>23.214285714285715</v>
      </c>
      <c r="J11" s="9">
        <v>243</v>
      </c>
      <c r="K11" s="9">
        <v>107</v>
      </c>
      <c r="L11" s="10">
        <f t="shared" si="2"/>
        <v>44.032921810699591</v>
      </c>
      <c r="M11" s="9"/>
      <c r="N11" s="9">
        <v>121</v>
      </c>
      <c r="O11" s="7" t="e">
        <f t="shared" si="3"/>
        <v>#DIV/0!</v>
      </c>
    </row>
    <row r="12" spans="1:15" ht="16.5" x14ac:dyDescent="0.45">
      <c r="A12" s="13" t="s">
        <v>8</v>
      </c>
      <c r="B12" s="17"/>
      <c r="C12" s="17">
        <v>9</v>
      </c>
      <c r="D12" s="11">
        <v>135</v>
      </c>
      <c r="E12" s="9">
        <v>33</v>
      </c>
      <c r="F12" s="10">
        <f t="shared" si="0"/>
        <v>24.444444444444443</v>
      </c>
      <c r="G12" s="11">
        <v>135</v>
      </c>
      <c r="H12" s="9">
        <v>28</v>
      </c>
      <c r="I12" s="12">
        <f t="shared" si="1"/>
        <v>20.74074074074074</v>
      </c>
      <c r="J12" s="9">
        <v>190</v>
      </c>
      <c r="K12" s="9">
        <v>50</v>
      </c>
      <c r="L12" s="10">
        <f t="shared" si="2"/>
        <v>26.315789473684209</v>
      </c>
      <c r="M12" s="9"/>
      <c r="N12" s="9">
        <v>305</v>
      </c>
      <c r="O12" s="7" t="e">
        <f t="shared" si="3"/>
        <v>#DIV/0!</v>
      </c>
    </row>
    <row r="13" spans="1:15" ht="29" x14ac:dyDescent="0.45">
      <c r="A13" s="13" t="s">
        <v>9</v>
      </c>
      <c r="B13" s="17"/>
      <c r="C13" s="17">
        <v>57</v>
      </c>
      <c r="D13" s="11">
        <v>1283</v>
      </c>
      <c r="E13" s="9">
        <v>158</v>
      </c>
      <c r="F13" s="10">
        <f t="shared" si="0"/>
        <v>12.314886983632112</v>
      </c>
      <c r="G13" s="11">
        <v>1283</v>
      </c>
      <c r="H13" s="9">
        <v>147</v>
      </c>
      <c r="I13" s="12">
        <f t="shared" si="1"/>
        <v>11.457521434138737</v>
      </c>
      <c r="J13" s="9">
        <v>1399</v>
      </c>
      <c r="K13" s="9">
        <v>167</v>
      </c>
      <c r="L13" s="10">
        <f t="shared" si="2"/>
        <v>11.937097927090779</v>
      </c>
      <c r="M13" s="9"/>
      <c r="N13" s="9">
        <v>606</v>
      </c>
      <c r="O13" s="7" t="e">
        <f t="shared" si="3"/>
        <v>#DIV/0!</v>
      </c>
    </row>
    <row r="14" spans="1:15" ht="16.5" x14ac:dyDescent="0.45">
      <c r="A14" s="13" t="s">
        <v>10</v>
      </c>
      <c r="B14" s="17"/>
      <c r="C14" s="17">
        <v>6</v>
      </c>
      <c r="D14" s="11">
        <v>581</v>
      </c>
      <c r="E14" s="9">
        <v>74</v>
      </c>
      <c r="F14" s="10">
        <f t="shared" si="0"/>
        <v>12.736660929432015</v>
      </c>
      <c r="G14" s="11">
        <v>581</v>
      </c>
      <c r="H14" s="9">
        <v>86</v>
      </c>
      <c r="I14" s="12">
        <f t="shared" si="1"/>
        <v>14.802065404475043</v>
      </c>
      <c r="J14" s="9">
        <v>608</v>
      </c>
      <c r="K14" s="9">
        <v>74</v>
      </c>
      <c r="L14" s="10">
        <f t="shared" si="2"/>
        <v>12.171052631578947</v>
      </c>
      <c r="M14" s="9"/>
      <c r="N14" s="9">
        <v>865</v>
      </c>
      <c r="O14" s="7" t="e">
        <f t="shared" si="3"/>
        <v>#DIV/0!</v>
      </c>
    </row>
    <row r="15" spans="1:15" ht="16.5" x14ac:dyDescent="0.45">
      <c r="A15" s="13" t="s">
        <v>11</v>
      </c>
      <c r="B15" s="17"/>
      <c r="C15" s="17">
        <v>19</v>
      </c>
      <c r="D15" s="11">
        <v>166</v>
      </c>
      <c r="E15" s="9">
        <v>14</v>
      </c>
      <c r="F15" s="10">
        <f t="shared" si="0"/>
        <v>8.4337349397590362</v>
      </c>
      <c r="G15" s="11">
        <v>166</v>
      </c>
      <c r="H15" s="9">
        <v>32</v>
      </c>
      <c r="I15" s="12">
        <f t="shared" si="1"/>
        <v>19.277108433734941</v>
      </c>
      <c r="J15" s="9">
        <v>177</v>
      </c>
      <c r="K15" s="9">
        <v>42</v>
      </c>
      <c r="L15" s="10">
        <f t="shared" si="2"/>
        <v>23.728813559322035</v>
      </c>
      <c r="M15" s="9"/>
      <c r="N15" s="9">
        <v>191</v>
      </c>
      <c r="O15" s="7" t="e">
        <f t="shared" si="3"/>
        <v>#DIV/0!</v>
      </c>
    </row>
    <row r="16" spans="1:15" ht="16.5" x14ac:dyDescent="0.45">
      <c r="A16" s="13" t="s">
        <v>12</v>
      </c>
      <c r="B16" s="17"/>
      <c r="C16" s="17">
        <v>41</v>
      </c>
      <c r="D16" s="11">
        <v>952</v>
      </c>
      <c r="E16" s="9">
        <v>74</v>
      </c>
      <c r="F16" s="10">
        <f t="shared" si="0"/>
        <v>7.7731092436974789</v>
      </c>
      <c r="G16" s="11">
        <v>952</v>
      </c>
      <c r="H16" s="9">
        <v>76</v>
      </c>
      <c r="I16" s="12">
        <f t="shared" si="1"/>
        <v>7.9831932773109235</v>
      </c>
      <c r="J16" s="9">
        <v>851</v>
      </c>
      <c r="K16" s="9">
        <v>151</v>
      </c>
      <c r="L16" s="10">
        <f t="shared" si="2"/>
        <v>17.743830787309047</v>
      </c>
      <c r="M16" s="9"/>
      <c r="N16" s="9">
        <v>1938</v>
      </c>
      <c r="O16" s="7" t="e">
        <f t="shared" si="3"/>
        <v>#DIV/0!</v>
      </c>
    </row>
    <row r="17" spans="1:15" ht="29" x14ac:dyDescent="0.45">
      <c r="A17" s="13" t="s">
        <v>13</v>
      </c>
      <c r="B17" s="17"/>
      <c r="C17" s="17">
        <v>8</v>
      </c>
      <c r="D17" s="11">
        <v>403</v>
      </c>
      <c r="E17" s="9">
        <v>128</v>
      </c>
      <c r="F17" s="10">
        <f t="shared" si="0"/>
        <v>31.761786600496279</v>
      </c>
      <c r="G17" s="11">
        <v>403</v>
      </c>
      <c r="H17" s="9">
        <v>86</v>
      </c>
      <c r="I17" s="12">
        <f t="shared" si="1"/>
        <v>21.339950372208435</v>
      </c>
      <c r="J17" s="9">
        <v>254</v>
      </c>
      <c r="K17" s="9">
        <v>101</v>
      </c>
      <c r="L17" s="10">
        <f t="shared" si="2"/>
        <v>39.763779527559059</v>
      </c>
      <c r="M17" s="9"/>
      <c r="N17" s="9">
        <v>264</v>
      </c>
      <c r="O17" s="7" t="e">
        <f t="shared" si="3"/>
        <v>#DIV/0!</v>
      </c>
    </row>
    <row r="18" spans="1:15" ht="16.5" x14ac:dyDescent="0.45">
      <c r="A18" s="14" t="s">
        <v>14</v>
      </c>
      <c r="B18" s="17"/>
      <c r="C18" s="17">
        <v>1</v>
      </c>
      <c r="D18" s="11">
        <v>643</v>
      </c>
      <c r="E18" s="9">
        <v>113</v>
      </c>
      <c r="F18" s="10">
        <f t="shared" si="0"/>
        <v>17.573872472783826</v>
      </c>
      <c r="G18" s="11">
        <v>643</v>
      </c>
      <c r="H18" s="9">
        <v>71</v>
      </c>
      <c r="I18" s="12">
        <f t="shared" si="1"/>
        <v>11.041990668740279</v>
      </c>
      <c r="J18" s="9">
        <v>843</v>
      </c>
      <c r="K18" s="9">
        <v>91</v>
      </c>
      <c r="L18" s="10">
        <f t="shared" si="2"/>
        <v>10.794780545670225</v>
      </c>
      <c r="M18" s="9"/>
      <c r="N18" s="9">
        <v>223</v>
      </c>
      <c r="O18" s="7" t="e">
        <f t="shared" si="3"/>
        <v>#DIV/0!</v>
      </c>
    </row>
    <row r="19" spans="1:15" ht="43.5" x14ac:dyDescent="0.45">
      <c r="A19" s="14" t="s">
        <v>15</v>
      </c>
      <c r="B19" s="17"/>
      <c r="C19" s="17">
        <v>0</v>
      </c>
      <c r="D19" s="11">
        <v>236</v>
      </c>
      <c r="E19" s="9">
        <v>27</v>
      </c>
      <c r="F19" s="10">
        <f t="shared" si="0"/>
        <v>11.440677966101696</v>
      </c>
      <c r="G19" s="11">
        <v>236</v>
      </c>
      <c r="H19" s="9">
        <v>32</v>
      </c>
      <c r="I19" s="12">
        <f t="shared" si="1"/>
        <v>13.559322033898304</v>
      </c>
      <c r="J19" s="9">
        <v>231</v>
      </c>
      <c r="K19" s="9">
        <v>31</v>
      </c>
      <c r="L19" s="10">
        <f t="shared" si="2"/>
        <v>13.419913419913421</v>
      </c>
      <c r="M19" s="9"/>
      <c r="N19" s="9">
        <v>215</v>
      </c>
      <c r="O19" s="7" t="e">
        <f t="shared" si="3"/>
        <v>#DIV/0!</v>
      </c>
    </row>
    <row r="20" spans="1:15" ht="29" x14ac:dyDescent="0.45">
      <c r="A20" s="14" t="s">
        <v>16</v>
      </c>
      <c r="B20" s="17"/>
      <c r="C20" s="17">
        <v>34</v>
      </c>
      <c r="D20" s="11">
        <v>5736</v>
      </c>
      <c r="E20" s="9">
        <v>848</v>
      </c>
      <c r="F20" s="10">
        <f t="shared" si="0"/>
        <v>14.783821478382148</v>
      </c>
      <c r="G20" s="11">
        <v>5736</v>
      </c>
      <c r="H20" s="9">
        <v>597</v>
      </c>
      <c r="I20" s="12">
        <f t="shared" si="1"/>
        <v>10.40794979079498</v>
      </c>
      <c r="J20" s="9">
        <v>6878</v>
      </c>
      <c r="K20" s="9">
        <v>671</v>
      </c>
      <c r="L20" s="10">
        <f t="shared" si="2"/>
        <v>9.7557429485315499</v>
      </c>
      <c r="M20" s="9"/>
      <c r="N20" s="9">
        <v>2539</v>
      </c>
      <c r="O20" s="7" t="e">
        <f t="shared" si="3"/>
        <v>#DIV/0!</v>
      </c>
    </row>
    <row r="21" spans="1:15" ht="16.5" x14ac:dyDescent="0.45">
      <c r="A21" s="14" t="s">
        <v>17</v>
      </c>
      <c r="B21" s="17"/>
      <c r="C21" s="17">
        <v>14</v>
      </c>
      <c r="D21" s="11">
        <v>2230</v>
      </c>
      <c r="E21" s="9">
        <v>396</v>
      </c>
      <c r="F21" s="10">
        <f t="shared" si="0"/>
        <v>17.757847533632287</v>
      </c>
      <c r="G21" s="11">
        <v>2230</v>
      </c>
      <c r="H21" s="9">
        <v>359</v>
      </c>
      <c r="I21" s="12">
        <f t="shared" si="1"/>
        <v>16.098654708520179</v>
      </c>
      <c r="J21" s="9">
        <v>2609</v>
      </c>
      <c r="K21" s="9">
        <v>452</v>
      </c>
      <c r="L21" s="10">
        <f t="shared" si="2"/>
        <v>17.324645458029899</v>
      </c>
      <c r="M21" s="9"/>
      <c r="N21" s="9">
        <v>3762</v>
      </c>
      <c r="O21" s="7" t="e">
        <f t="shared" si="3"/>
        <v>#DIV/0!</v>
      </c>
    </row>
    <row r="22" spans="1:15" ht="16.5" x14ac:dyDescent="0.45">
      <c r="A22" s="14" t="s">
        <v>18</v>
      </c>
      <c r="B22" s="17"/>
      <c r="C22" s="17">
        <v>0</v>
      </c>
      <c r="D22" s="11">
        <v>543</v>
      </c>
      <c r="E22" s="9">
        <v>105</v>
      </c>
      <c r="F22" s="10">
        <f t="shared" si="0"/>
        <v>19.337016574585636</v>
      </c>
      <c r="G22" s="11">
        <v>543</v>
      </c>
      <c r="H22" s="9">
        <v>98</v>
      </c>
      <c r="I22" s="12">
        <f t="shared" si="1"/>
        <v>18.047882136279927</v>
      </c>
      <c r="J22" s="9">
        <v>634</v>
      </c>
      <c r="K22" s="9">
        <v>151</v>
      </c>
      <c r="L22" s="10">
        <f t="shared" si="2"/>
        <v>23.817034700315457</v>
      </c>
      <c r="M22" s="9"/>
      <c r="N22" s="9">
        <v>449</v>
      </c>
      <c r="O22" s="7" t="e">
        <f t="shared" si="3"/>
        <v>#DIV/0!</v>
      </c>
    </row>
    <row r="23" spans="1:15" ht="16.5" x14ac:dyDescent="0.45">
      <c r="A23" s="14" t="s">
        <v>19</v>
      </c>
      <c r="B23" s="17"/>
      <c r="C23" s="17">
        <v>0</v>
      </c>
      <c r="D23" s="11">
        <v>284</v>
      </c>
      <c r="E23" s="9">
        <v>58</v>
      </c>
      <c r="F23" s="10">
        <f t="shared" si="0"/>
        <v>20.422535211267608</v>
      </c>
      <c r="G23" s="11">
        <v>284</v>
      </c>
      <c r="H23" s="9">
        <v>49</v>
      </c>
      <c r="I23" s="12">
        <f t="shared" si="1"/>
        <v>17.253521126760564</v>
      </c>
      <c r="J23" s="9">
        <v>376</v>
      </c>
      <c r="K23" s="9">
        <v>112</v>
      </c>
      <c r="L23" s="10">
        <f t="shared" si="2"/>
        <v>29.787234042553191</v>
      </c>
      <c r="M23" s="9"/>
      <c r="N23" s="9">
        <v>378</v>
      </c>
      <c r="O23" s="7" t="e">
        <f t="shared" si="3"/>
        <v>#DIV/0!</v>
      </c>
    </row>
    <row r="24" spans="1:15" ht="29" x14ac:dyDescent="0.45">
      <c r="A24" s="14" t="s">
        <v>20</v>
      </c>
      <c r="B24" s="17"/>
      <c r="C24" s="17">
        <v>0</v>
      </c>
      <c r="D24" s="11">
        <v>220</v>
      </c>
      <c r="E24" s="9">
        <v>37</v>
      </c>
      <c r="F24" s="10">
        <f t="shared" si="0"/>
        <v>16.818181818181817</v>
      </c>
      <c r="G24" s="11">
        <v>220</v>
      </c>
      <c r="H24" s="9">
        <v>58</v>
      </c>
      <c r="I24" s="12">
        <f t="shared" si="1"/>
        <v>26.36363636363636</v>
      </c>
      <c r="J24" s="9">
        <v>212</v>
      </c>
      <c r="K24" s="9">
        <v>115</v>
      </c>
      <c r="L24" s="10">
        <f t="shared" si="2"/>
        <v>54.24528301886793</v>
      </c>
      <c r="M24" s="9"/>
      <c r="N24" s="9">
        <v>14</v>
      </c>
      <c r="O24" s="7" t="e">
        <f t="shared" si="3"/>
        <v>#DIV/0!</v>
      </c>
    </row>
    <row r="25" spans="1:15" ht="29" x14ac:dyDescent="0.45">
      <c r="A25" s="14" t="s">
        <v>21</v>
      </c>
      <c r="B25" s="17"/>
      <c r="C25" s="17">
        <v>0</v>
      </c>
      <c r="D25" s="11">
        <v>228</v>
      </c>
      <c r="E25" s="9">
        <v>28</v>
      </c>
      <c r="F25" s="10">
        <f t="shared" si="0"/>
        <v>12.280701754385964</v>
      </c>
      <c r="G25" s="11">
        <v>228</v>
      </c>
      <c r="H25" s="9">
        <v>26</v>
      </c>
      <c r="I25" s="12">
        <f t="shared" si="1"/>
        <v>11.403508771929824</v>
      </c>
      <c r="J25" s="9">
        <v>219</v>
      </c>
      <c r="K25" s="9">
        <v>39</v>
      </c>
      <c r="L25" s="10">
        <f t="shared" si="2"/>
        <v>17.80821917808219</v>
      </c>
      <c r="M25" s="9"/>
      <c r="N25" s="9">
        <v>295</v>
      </c>
      <c r="O25" s="7" t="e">
        <f t="shared" si="3"/>
        <v>#DIV/0!</v>
      </c>
    </row>
    <row r="26" spans="1:15" ht="29" x14ac:dyDescent="0.45">
      <c r="A26" s="14" t="s">
        <v>22</v>
      </c>
      <c r="B26" s="17"/>
      <c r="C26" s="17">
        <v>0</v>
      </c>
      <c r="D26" s="11">
        <v>33</v>
      </c>
      <c r="E26" s="9">
        <v>17</v>
      </c>
      <c r="F26" s="10">
        <f t="shared" si="0"/>
        <v>51.515151515151516</v>
      </c>
      <c r="G26" s="11">
        <v>33</v>
      </c>
      <c r="H26" s="9">
        <v>5</v>
      </c>
      <c r="I26" s="12">
        <f t="shared" si="1"/>
        <v>15.151515151515152</v>
      </c>
      <c r="J26" s="9">
        <v>38</v>
      </c>
      <c r="K26" s="9">
        <v>2</v>
      </c>
      <c r="L26" s="10">
        <f t="shared" si="2"/>
        <v>5.2631578947368416</v>
      </c>
      <c r="M26" s="9"/>
      <c r="N26" s="9">
        <v>150</v>
      </c>
      <c r="O26" s="7" t="e">
        <f t="shared" si="3"/>
        <v>#DIV/0!</v>
      </c>
    </row>
    <row r="27" spans="1:15" ht="29" x14ac:dyDescent="0.45">
      <c r="A27" s="14" t="s">
        <v>23</v>
      </c>
      <c r="B27" s="17"/>
      <c r="C27" s="17">
        <v>0</v>
      </c>
      <c r="D27" s="11">
        <v>38</v>
      </c>
      <c r="E27" s="9">
        <v>6</v>
      </c>
      <c r="F27" s="10">
        <f t="shared" si="0"/>
        <v>15.789473684210526</v>
      </c>
      <c r="G27" s="11">
        <v>38</v>
      </c>
      <c r="H27" s="9">
        <v>3</v>
      </c>
      <c r="I27" s="12">
        <f t="shared" si="1"/>
        <v>7.8947368421052628</v>
      </c>
      <c r="J27" s="9">
        <v>41</v>
      </c>
      <c r="K27" s="9">
        <v>4</v>
      </c>
      <c r="L27" s="10">
        <f t="shared" si="2"/>
        <v>9.7560975609756095</v>
      </c>
      <c r="M27" s="9"/>
      <c r="N27" s="9">
        <v>70</v>
      </c>
      <c r="O27" s="7" t="e">
        <f t="shared" si="3"/>
        <v>#DIV/0!</v>
      </c>
    </row>
    <row r="28" spans="1:15" ht="16.5" x14ac:dyDescent="0.45">
      <c r="A28" s="14" t="s">
        <v>24</v>
      </c>
      <c r="B28" s="17"/>
      <c r="C28" s="17">
        <v>0</v>
      </c>
      <c r="D28" s="11">
        <v>130</v>
      </c>
      <c r="E28" s="9">
        <v>14</v>
      </c>
      <c r="F28" s="10">
        <f t="shared" si="0"/>
        <v>10.76923076923077</v>
      </c>
      <c r="G28" s="11">
        <v>130</v>
      </c>
      <c r="H28" s="9">
        <v>41</v>
      </c>
      <c r="I28" s="12">
        <f t="shared" si="1"/>
        <v>31.538461538461537</v>
      </c>
      <c r="J28" s="9">
        <v>140</v>
      </c>
      <c r="K28" s="9">
        <v>39</v>
      </c>
      <c r="L28" s="10">
        <f t="shared" si="2"/>
        <v>27.857142857142858</v>
      </c>
      <c r="M28" s="9"/>
      <c r="N28" s="9">
        <v>151</v>
      </c>
      <c r="O28" s="7" t="e">
        <f t="shared" si="3"/>
        <v>#DIV/0!</v>
      </c>
    </row>
    <row r="29" spans="1:15" ht="16.5" x14ac:dyDescent="0.45">
      <c r="A29" s="14" t="s">
        <v>25</v>
      </c>
      <c r="B29" s="17"/>
      <c r="C29" s="17">
        <v>0</v>
      </c>
      <c r="D29" s="11">
        <v>278</v>
      </c>
      <c r="E29" s="9">
        <v>68</v>
      </c>
      <c r="F29" s="10">
        <f t="shared" si="0"/>
        <v>24.46043165467626</v>
      </c>
      <c r="G29" s="11">
        <v>278</v>
      </c>
      <c r="H29" s="9">
        <v>74</v>
      </c>
      <c r="I29" s="12">
        <f t="shared" si="1"/>
        <v>26.618705035971225</v>
      </c>
      <c r="J29" s="9">
        <v>348</v>
      </c>
      <c r="K29" s="9">
        <v>127</v>
      </c>
      <c r="L29" s="10">
        <f t="shared" si="2"/>
        <v>36.494252873563219</v>
      </c>
      <c r="M29" s="9"/>
      <c r="N29" s="9">
        <v>85</v>
      </c>
      <c r="O29" s="7" t="e">
        <f t="shared" si="3"/>
        <v>#DIV/0!</v>
      </c>
    </row>
    <row r="30" spans="1:15" ht="16.5" x14ac:dyDescent="0.45">
      <c r="A30" s="15" t="s">
        <v>26</v>
      </c>
      <c r="B30" s="17"/>
      <c r="C30" s="17">
        <v>13</v>
      </c>
      <c r="D30" s="11">
        <v>499</v>
      </c>
      <c r="E30" s="9">
        <v>79</v>
      </c>
      <c r="F30" s="10">
        <f t="shared" si="0"/>
        <v>15.831663326653306</v>
      </c>
      <c r="G30" s="11">
        <v>499</v>
      </c>
      <c r="H30" s="9">
        <v>71</v>
      </c>
      <c r="I30" s="12">
        <f t="shared" si="1"/>
        <v>14.228456913827655</v>
      </c>
      <c r="J30" s="9">
        <v>560</v>
      </c>
      <c r="K30" s="9">
        <v>96</v>
      </c>
      <c r="L30" s="10">
        <f t="shared" si="2"/>
        <v>17.142857142857142</v>
      </c>
      <c r="M30" s="9"/>
      <c r="N30" s="9">
        <v>290</v>
      </c>
      <c r="O30" s="7" t="e">
        <f t="shared" si="3"/>
        <v>#DIV/0!</v>
      </c>
    </row>
    <row r="31" spans="1:15" ht="16.5" x14ac:dyDescent="0.45">
      <c r="A31" s="15" t="s">
        <v>27</v>
      </c>
      <c r="B31" s="17"/>
      <c r="C31" s="17">
        <v>0</v>
      </c>
      <c r="D31" s="11">
        <v>54</v>
      </c>
      <c r="E31" s="9">
        <v>7</v>
      </c>
      <c r="F31" s="10">
        <f t="shared" si="0"/>
        <v>12.962962962962962</v>
      </c>
      <c r="G31" s="11">
        <v>54</v>
      </c>
      <c r="H31" s="9">
        <v>20</v>
      </c>
      <c r="I31" s="12">
        <f t="shared" si="1"/>
        <v>37.037037037037038</v>
      </c>
      <c r="J31" s="9">
        <v>51</v>
      </c>
      <c r="K31" s="9">
        <v>26</v>
      </c>
      <c r="L31" s="10">
        <f t="shared" si="2"/>
        <v>50.980392156862742</v>
      </c>
      <c r="M31" s="9"/>
      <c r="N31" s="9">
        <v>11</v>
      </c>
      <c r="O31" s="7" t="e">
        <f t="shared" si="3"/>
        <v>#DIV/0!</v>
      </c>
    </row>
    <row r="32" spans="1:15" ht="16.5" x14ac:dyDescent="0.45">
      <c r="A32" s="15" t="s">
        <v>28</v>
      </c>
      <c r="B32" s="17"/>
      <c r="C32" s="17">
        <v>0</v>
      </c>
      <c r="D32" s="11">
        <v>137</v>
      </c>
      <c r="E32" s="9">
        <v>19</v>
      </c>
      <c r="F32" s="10">
        <f t="shared" si="0"/>
        <v>13.868613138686131</v>
      </c>
      <c r="G32" s="11">
        <v>137</v>
      </c>
      <c r="H32" s="9">
        <v>18</v>
      </c>
      <c r="I32" s="12">
        <f t="shared" si="1"/>
        <v>13.138686131386862</v>
      </c>
      <c r="J32" s="9">
        <v>184</v>
      </c>
      <c r="K32" s="9">
        <v>14</v>
      </c>
      <c r="L32" s="10">
        <f t="shared" si="2"/>
        <v>7.608695652173914</v>
      </c>
      <c r="M32" s="9"/>
      <c r="N32" s="9">
        <v>4</v>
      </c>
      <c r="O32" s="7" t="e">
        <f t="shared" si="3"/>
        <v>#DIV/0!</v>
      </c>
    </row>
    <row r="33" spans="1:15" ht="16.5" x14ac:dyDescent="0.45">
      <c r="A33" s="15" t="s">
        <v>29</v>
      </c>
      <c r="B33" s="17"/>
      <c r="C33" s="17">
        <v>7</v>
      </c>
      <c r="D33" s="11">
        <v>443</v>
      </c>
      <c r="E33" s="9">
        <v>191</v>
      </c>
      <c r="F33" s="10">
        <f t="shared" si="0"/>
        <v>43.115124153498876</v>
      </c>
      <c r="G33" s="11">
        <v>443</v>
      </c>
      <c r="H33" s="9">
        <v>217</v>
      </c>
      <c r="I33" s="12">
        <f t="shared" si="1"/>
        <v>48.984198645598191</v>
      </c>
      <c r="J33" s="9">
        <v>425</v>
      </c>
      <c r="K33" s="9">
        <v>191</v>
      </c>
      <c r="L33" s="10">
        <f t="shared" si="2"/>
        <v>44.941176470588232</v>
      </c>
      <c r="M33" s="9"/>
      <c r="N33" s="9">
        <v>751</v>
      </c>
      <c r="O33" s="7" t="e">
        <f t="shared" si="3"/>
        <v>#DIV/0!</v>
      </c>
    </row>
    <row r="34" spans="1:15" ht="16.5" x14ac:dyDescent="0.45">
      <c r="A34" s="15" t="s">
        <v>30</v>
      </c>
      <c r="B34" s="17"/>
      <c r="C34" s="17">
        <v>0</v>
      </c>
      <c r="D34" s="11">
        <v>99</v>
      </c>
      <c r="E34" s="9">
        <v>13</v>
      </c>
      <c r="F34" s="10">
        <f t="shared" si="0"/>
        <v>13.131313131313133</v>
      </c>
      <c r="G34" s="11">
        <v>99</v>
      </c>
      <c r="H34" s="9">
        <v>12</v>
      </c>
      <c r="I34" s="12">
        <f t="shared" si="1"/>
        <v>12.121212121212121</v>
      </c>
      <c r="J34" s="9">
        <v>95</v>
      </c>
      <c r="K34" s="9">
        <v>4</v>
      </c>
      <c r="L34" s="10">
        <f t="shared" si="2"/>
        <v>4.2105263157894735</v>
      </c>
      <c r="M34" s="9"/>
      <c r="N34" s="9">
        <v>1</v>
      </c>
      <c r="O34" s="7" t="e">
        <f t="shared" si="3"/>
        <v>#DIV/0!</v>
      </c>
    </row>
    <row r="35" spans="1:15" ht="43.5" x14ac:dyDescent="0.45">
      <c r="A35" s="15" t="s">
        <v>31</v>
      </c>
      <c r="B35" s="17"/>
      <c r="C35" s="17">
        <v>11</v>
      </c>
      <c r="D35" s="11">
        <v>1467</v>
      </c>
      <c r="E35" s="9">
        <v>143</v>
      </c>
      <c r="F35" s="10">
        <f t="shared" si="0"/>
        <v>9.7477845944103603</v>
      </c>
      <c r="G35" s="11">
        <v>1467</v>
      </c>
      <c r="H35" s="9">
        <v>218</v>
      </c>
      <c r="I35" s="12">
        <f t="shared" si="1"/>
        <v>14.860259032038172</v>
      </c>
      <c r="J35" s="9">
        <v>1144</v>
      </c>
      <c r="K35" s="9">
        <v>127</v>
      </c>
      <c r="L35" s="10">
        <f t="shared" si="2"/>
        <v>11.101398601398602</v>
      </c>
      <c r="M35" s="9"/>
      <c r="N35" s="9">
        <v>409</v>
      </c>
      <c r="O35" s="7" t="e">
        <f t="shared" si="3"/>
        <v>#DIV/0!</v>
      </c>
    </row>
    <row r="36" spans="1:15" ht="29" x14ac:dyDescent="0.45">
      <c r="A36" s="15" t="s">
        <v>32</v>
      </c>
      <c r="B36" s="17"/>
      <c r="C36" s="17">
        <v>4</v>
      </c>
      <c r="D36" s="11">
        <v>30</v>
      </c>
      <c r="E36" s="9">
        <v>26</v>
      </c>
      <c r="F36" s="10">
        <f t="shared" si="0"/>
        <v>86.666666666666671</v>
      </c>
      <c r="G36" s="11">
        <v>30</v>
      </c>
      <c r="H36" s="9">
        <v>26</v>
      </c>
      <c r="I36" s="12">
        <f t="shared" si="1"/>
        <v>86.666666666666671</v>
      </c>
      <c r="J36" s="9">
        <v>50</v>
      </c>
      <c r="K36" s="9">
        <v>39</v>
      </c>
      <c r="L36" s="10">
        <f t="shared" si="2"/>
        <v>78</v>
      </c>
      <c r="M36" s="9"/>
      <c r="N36" s="9">
        <v>13</v>
      </c>
      <c r="O36" s="7" t="e">
        <f t="shared" si="3"/>
        <v>#DIV/0!</v>
      </c>
    </row>
    <row r="37" spans="1:15" ht="16.5" x14ac:dyDescent="0.45">
      <c r="A37" s="15" t="s">
        <v>33</v>
      </c>
      <c r="B37" s="17"/>
      <c r="C37" s="17">
        <v>0</v>
      </c>
      <c r="D37" s="11">
        <v>112</v>
      </c>
      <c r="E37" s="9">
        <v>23</v>
      </c>
      <c r="F37" s="10">
        <f t="shared" si="0"/>
        <v>20.535714285714285</v>
      </c>
      <c r="G37" s="11">
        <v>112</v>
      </c>
      <c r="H37" s="9">
        <v>14</v>
      </c>
      <c r="I37" s="12">
        <f t="shared" si="1"/>
        <v>12.5</v>
      </c>
      <c r="J37" s="9">
        <v>133</v>
      </c>
      <c r="K37" s="9">
        <v>30</v>
      </c>
      <c r="L37" s="10">
        <f t="shared" si="2"/>
        <v>22.556390977443609</v>
      </c>
      <c r="M37" s="9"/>
      <c r="N37" s="9">
        <v>1</v>
      </c>
      <c r="O37" s="7" t="e">
        <f t="shared" si="3"/>
        <v>#DIV/0!</v>
      </c>
    </row>
    <row r="38" spans="1:15" ht="29" x14ac:dyDescent="0.45">
      <c r="A38" s="16" t="s">
        <v>34</v>
      </c>
      <c r="B38" s="17"/>
      <c r="C38" s="17">
        <v>0</v>
      </c>
      <c r="D38" s="11">
        <v>61</v>
      </c>
      <c r="E38" s="9">
        <v>7</v>
      </c>
      <c r="F38" s="10">
        <f t="shared" si="0"/>
        <v>11.475409836065573</v>
      </c>
      <c r="G38" s="11">
        <v>61</v>
      </c>
      <c r="H38" s="9">
        <v>13</v>
      </c>
      <c r="I38" s="12">
        <f t="shared" si="1"/>
        <v>21.311475409836063</v>
      </c>
      <c r="J38" s="9">
        <v>105</v>
      </c>
      <c r="K38" s="9">
        <v>11</v>
      </c>
      <c r="L38" s="10">
        <f t="shared" si="2"/>
        <v>10.476190476190476</v>
      </c>
      <c r="M38" s="9"/>
      <c r="N38" s="9">
        <v>46</v>
      </c>
      <c r="O38" s="7" t="e">
        <f t="shared" si="3"/>
        <v>#DIV/0!</v>
      </c>
    </row>
    <row r="39" spans="1:15" ht="16.5" x14ac:dyDescent="0.45">
      <c r="A39" s="16" t="s">
        <v>35</v>
      </c>
      <c r="B39" s="17"/>
      <c r="C39" s="17">
        <v>0</v>
      </c>
      <c r="D39" s="11">
        <v>117</v>
      </c>
      <c r="E39" s="9">
        <v>15</v>
      </c>
      <c r="F39" s="10">
        <f t="shared" si="0"/>
        <v>12.820512820512819</v>
      </c>
      <c r="G39" s="11">
        <v>117</v>
      </c>
      <c r="H39" s="9">
        <v>18</v>
      </c>
      <c r="I39" s="12">
        <f t="shared" si="1"/>
        <v>15.384615384615385</v>
      </c>
      <c r="J39" s="9">
        <v>64</v>
      </c>
      <c r="K39" s="9">
        <v>30</v>
      </c>
      <c r="L39" s="10">
        <f t="shared" si="2"/>
        <v>46.875</v>
      </c>
      <c r="M39" s="9"/>
      <c r="N39" s="9">
        <v>207</v>
      </c>
      <c r="O39" s="7" t="e">
        <f t="shared" si="3"/>
        <v>#DIV/0!</v>
      </c>
    </row>
    <row r="40" spans="1:15" ht="16.5" x14ac:dyDescent="0.45">
      <c r="A40" s="16" t="s">
        <v>36</v>
      </c>
      <c r="B40" s="17"/>
      <c r="C40" s="17">
        <v>0</v>
      </c>
      <c r="D40" s="11">
        <v>62</v>
      </c>
      <c r="E40" s="9">
        <v>4</v>
      </c>
      <c r="F40" s="10">
        <f t="shared" si="0"/>
        <v>6.4516129032258061</v>
      </c>
      <c r="G40" s="11">
        <v>62</v>
      </c>
      <c r="H40" s="9">
        <v>11</v>
      </c>
      <c r="I40" s="12">
        <f t="shared" si="1"/>
        <v>17.741935483870968</v>
      </c>
      <c r="J40" s="9">
        <v>69</v>
      </c>
      <c r="K40" s="9">
        <v>12</v>
      </c>
      <c r="L40" s="10">
        <f t="shared" si="2"/>
        <v>17.391304347826086</v>
      </c>
      <c r="M40" s="9"/>
      <c r="N40" s="9">
        <v>74</v>
      </c>
      <c r="O40" s="7" t="e">
        <f t="shared" si="3"/>
        <v>#DIV/0!</v>
      </c>
    </row>
    <row r="41" spans="1:15" ht="16.5" x14ac:dyDescent="0.45">
      <c r="A41" s="16" t="s">
        <v>37</v>
      </c>
      <c r="B41" s="17"/>
      <c r="C41" s="17">
        <v>0</v>
      </c>
      <c r="D41" s="11">
        <v>62</v>
      </c>
      <c r="E41" s="9">
        <v>7</v>
      </c>
      <c r="F41" s="10">
        <f t="shared" si="0"/>
        <v>11.29032258064516</v>
      </c>
      <c r="G41" s="11">
        <v>62</v>
      </c>
      <c r="H41" s="9">
        <v>4</v>
      </c>
      <c r="I41" s="12">
        <f t="shared" si="1"/>
        <v>6.4516129032258061</v>
      </c>
      <c r="J41" s="9">
        <v>75</v>
      </c>
      <c r="K41" s="9">
        <v>13</v>
      </c>
      <c r="L41" s="10">
        <f t="shared" si="2"/>
        <v>17.333333333333336</v>
      </c>
      <c r="M41" s="9"/>
      <c r="N41" s="9">
        <v>71</v>
      </c>
      <c r="O41" s="7" t="e">
        <f t="shared" si="3"/>
        <v>#DIV/0!</v>
      </c>
    </row>
    <row r="42" spans="1:15" ht="16.5" x14ac:dyDescent="0.45">
      <c r="A42" s="16" t="s">
        <v>38</v>
      </c>
      <c r="B42" s="17"/>
      <c r="C42" s="17">
        <v>2</v>
      </c>
      <c r="D42" s="11">
        <v>130</v>
      </c>
      <c r="E42" s="9">
        <v>19</v>
      </c>
      <c r="F42" s="10">
        <f t="shared" si="0"/>
        <v>14.615384615384617</v>
      </c>
      <c r="G42" s="11">
        <v>130</v>
      </c>
      <c r="H42" s="9">
        <v>15</v>
      </c>
      <c r="I42" s="12">
        <f t="shared" si="1"/>
        <v>11.538461538461538</v>
      </c>
      <c r="J42" s="9">
        <v>123</v>
      </c>
      <c r="K42" s="9">
        <v>43</v>
      </c>
      <c r="L42" s="10">
        <f t="shared" si="2"/>
        <v>34.959349593495936</v>
      </c>
      <c r="M42" s="9"/>
      <c r="N42" s="9">
        <v>162</v>
      </c>
      <c r="O42" s="7" t="e">
        <f t="shared" si="3"/>
        <v>#DIV/0!</v>
      </c>
    </row>
    <row r="43" spans="1:15" ht="16.5" x14ac:dyDescent="0.45">
      <c r="A43" s="16" t="s">
        <v>39</v>
      </c>
      <c r="B43" s="17"/>
      <c r="C43" s="17">
        <v>0</v>
      </c>
      <c r="D43" s="11">
        <v>259</v>
      </c>
      <c r="E43" s="9">
        <v>44</v>
      </c>
      <c r="F43" s="10">
        <f t="shared" si="0"/>
        <v>16.988416988416986</v>
      </c>
      <c r="G43" s="11">
        <v>259</v>
      </c>
      <c r="H43" s="9">
        <v>41</v>
      </c>
      <c r="I43" s="12">
        <f t="shared" si="1"/>
        <v>15.83011583011583</v>
      </c>
      <c r="J43" s="9">
        <v>208</v>
      </c>
      <c r="K43" s="9">
        <v>32</v>
      </c>
      <c r="L43" s="10">
        <f t="shared" si="2"/>
        <v>15.384615384615385</v>
      </c>
      <c r="M43" s="9"/>
      <c r="N43" s="9">
        <v>274</v>
      </c>
      <c r="O43" s="7" t="e">
        <f t="shared" si="3"/>
        <v>#DIV/0!</v>
      </c>
    </row>
    <row r="44" spans="1:15" ht="29" x14ac:dyDescent="0.45">
      <c r="A44" s="16" t="s">
        <v>40</v>
      </c>
      <c r="B44" s="17"/>
      <c r="C44" s="17">
        <v>0</v>
      </c>
      <c r="D44" s="11">
        <v>36</v>
      </c>
      <c r="E44" s="9">
        <v>2</v>
      </c>
      <c r="F44" s="10">
        <f t="shared" si="0"/>
        <v>5.5555555555555554</v>
      </c>
      <c r="G44" s="11">
        <v>36</v>
      </c>
      <c r="H44" s="9">
        <v>3</v>
      </c>
      <c r="I44" s="12">
        <f t="shared" si="1"/>
        <v>8.3333333333333321</v>
      </c>
      <c r="J44" s="9">
        <v>36</v>
      </c>
      <c r="K44" s="9">
        <v>9</v>
      </c>
      <c r="L44" s="10">
        <f t="shared" si="2"/>
        <v>25</v>
      </c>
      <c r="M44" s="9"/>
      <c r="N44" s="9">
        <v>0</v>
      </c>
      <c r="O44" s="7" t="e">
        <f t="shared" si="3"/>
        <v>#DIV/0!</v>
      </c>
    </row>
    <row r="45" spans="1:15" ht="29" x14ac:dyDescent="0.45">
      <c r="A45" s="16" t="s">
        <v>41</v>
      </c>
      <c r="B45" s="17"/>
      <c r="C45" s="17">
        <v>4</v>
      </c>
      <c r="D45" s="11">
        <v>129</v>
      </c>
      <c r="E45" s="9">
        <v>24</v>
      </c>
      <c r="F45" s="10">
        <f t="shared" si="0"/>
        <v>18.604651162790699</v>
      </c>
      <c r="G45" s="11">
        <v>129</v>
      </c>
      <c r="H45" s="9">
        <v>33</v>
      </c>
      <c r="I45" s="12">
        <f t="shared" si="1"/>
        <v>25.581395348837212</v>
      </c>
      <c r="J45" s="9">
        <v>153</v>
      </c>
      <c r="K45" s="9">
        <v>32</v>
      </c>
      <c r="L45" s="10">
        <f t="shared" si="2"/>
        <v>20.915032679738562</v>
      </c>
      <c r="M45" s="9"/>
      <c r="N45" s="9">
        <v>380</v>
      </c>
      <c r="O45" s="7" t="e">
        <f t="shared" si="3"/>
        <v>#DIV/0!</v>
      </c>
    </row>
    <row r="46" spans="1:15" x14ac:dyDescent="0.35">
      <c r="A46" s="40" t="s">
        <v>50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x14ac:dyDescent="0.35">
      <c r="A47" s="34" t="s">
        <v>51</v>
      </c>
      <c r="B47" s="34"/>
      <c r="C47" s="34"/>
      <c r="D47" s="34"/>
      <c r="E47" s="34"/>
    </row>
    <row r="48" spans="1:15" x14ac:dyDescent="0.35">
      <c r="A48" s="35" t="s">
        <v>52</v>
      </c>
      <c r="B48" s="35"/>
      <c r="C48" s="35"/>
      <c r="D48" s="35"/>
      <c r="E48" s="35"/>
    </row>
  </sheetData>
  <mergeCells count="8">
    <mergeCell ref="A46:L46"/>
    <mergeCell ref="A47:E47"/>
    <mergeCell ref="A48:E48"/>
    <mergeCell ref="A1:O1"/>
    <mergeCell ref="A2:O3"/>
    <mergeCell ref="A4:O4"/>
    <mergeCell ref="A5:L5"/>
    <mergeCell ref="M5:O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8"/>
  <sheetViews>
    <sheetView topLeftCell="B12" workbookViewId="0">
      <selection activeCell="M36" sqref="M36"/>
    </sheetView>
  </sheetViews>
  <sheetFormatPr baseColWidth="10" defaultRowHeight="14.5" x14ac:dyDescent="0.35"/>
  <sheetData>
    <row r="1" spans="1:15" ht="23.5" x14ac:dyDescent="0.55000000000000004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4.25" customHeight="1" x14ac:dyDescent="0.35">
      <c r="A2" s="37" t="s">
        <v>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4.2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8.75" customHeight="1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ht="15" customHeight="1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2" t="s">
        <v>49</v>
      </c>
      <c r="N5" s="42"/>
      <c r="O5" s="42"/>
    </row>
    <row r="6" spans="1:15" ht="43.5" x14ac:dyDescent="0.35">
      <c r="A6" s="5" t="s">
        <v>2</v>
      </c>
      <c r="B6" s="5" t="s">
        <v>42</v>
      </c>
      <c r="C6" s="6" t="s">
        <v>54</v>
      </c>
      <c r="D6" s="5" t="s">
        <v>42</v>
      </c>
      <c r="E6" s="6" t="s">
        <v>45</v>
      </c>
      <c r="F6" s="6" t="s">
        <v>44</v>
      </c>
      <c r="G6" s="5" t="s">
        <v>42</v>
      </c>
      <c r="H6" s="6" t="s">
        <v>46</v>
      </c>
      <c r="I6" s="6" t="s">
        <v>44</v>
      </c>
      <c r="J6" s="5" t="s">
        <v>42</v>
      </c>
      <c r="K6" s="6" t="s">
        <v>43</v>
      </c>
      <c r="L6" s="5" t="s">
        <v>44</v>
      </c>
      <c r="M6" s="5" t="s">
        <v>42</v>
      </c>
      <c r="N6" s="6" t="s">
        <v>48</v>
      </c>
      <c r="O6" s="5" t="s">
        <v>44</v>
      </c>
    </row>
    <row r="7" spans="1:15" ht="16.5" x14ac:dyDescent="0.45">
      <c r="A7" s="13" t="s">
        <v>3</v>
      </c>
      <c r="B7" s="17"/>
      <c r="C7" s="18">
        <v>456</v>
      </c>
      <c r="D7" s="11">
        <v>8431</v>
      </c>
      <c r="E7" s="7">
        <v>1657</v>
      </c>
      <c r="F7" s="10">
        <f t="shared" ref="F7:F45" si="0">SUM(E7/D7*100)</f>
        <v>19.653659115170203</v>
      </c>
      <c r="G7" s="11">
        <v>8431</v>
      </c>
      <c r="H7" s="8">
        <v>1258</v>
      </c>
      <c r="I7" s="12">
        <f>SUM(H7/G7*100)</f>
        <v>14.921124421776778</v>
      </c>
      <c r="J7" s="8">
        <v>10719</v>
      </c>
      <c r="K7" s="8">
        <v>1608</v>
      </c>
      <c r="L7" s="10">
        <f>SUM(K7/J7*100)</f>
        <v>15.001399384270922</v>
      </c>
      <c r="M7" s="8"/>
      <c r="N7" s="8">
        <v>9706</v>
      </c>
      <c r="O7" s="7" t="e">
        <f>SUM(N7/M7*100)</f>
        <v>#DIV/0!</v>
      </c>
    </row>
    <row r="8" spans="1:15" ht="29" x14ac:dyDescent="0.45">
      <c r="A8" s="13" t="s">
        <v>4</v>
      </c>
      <c r="B8" s="17"/>
      <c r="C8" s="17">
        <v>21</v>
      </c>
      <c r="D8" s="11">
        <v>576</v>
      </c>
      <c r="E8" s="9">
        <v>135</v>
      </c>
      <c r="F8" s="10">
        <f t="shared" si="0"/>
        <v>23.4375</v>
      </c>
      <c r="G8" s="11">
        <v>576</v>
      </c>
      <c r="H8" s="9">
        <v>111</v>
      </c>
      <c r="I8" s="12">
        <f t="shared" ref="I8:I45" si="1">SUM(H8/G8*100)</f>
        <v>19.270833333333336</v>
      </c>
      <c r="J8" s="9">
        <v>657</v>
      </c>
      <c r="K8" s="9">
        <v>152</v>
      </c>
      <c r="L8" s="10">
        <f t="shared" ref="L8:L45" si="2">SUM(K8/J8*100)</f>
        <v>23.135464231354639</v>
      </c>
      <c r="M8" s="9"/>
      <c r="N8" s="9">
        <v>429</v>
      </c>
      <c r="O8" s="7" t="e">
        <f t="shared" ref="O8:O45" si="3">SUM(N8/M8*100)</f>
        <v>#DIV/0!</v>
      </c>
    </row>
    <row r="9" spans="1:15" ht="16.5" x14ac:dyDescent="0.45">
      <c r="A9" s="13" t="s">
        <v>5</v>
      </c>
      <c r="B9" s="17"/>
      <c r="C9" s="17">
        <v>69</v>
      </c>
      <c r="D9" s="11">
        <v>1425</v>
      </c>
      <c r="E9" s="9">
        <v>221</v>
      </c>
      <c r="F9" s="10">
        <f t="shared" si="0"/>
        <v>15.508771929824562</v>
      </c>
      <c r="G9" s="11">
        <v>1425</v>
      </c>
      <c r="H9" s="9">
        <v>183</v>
      </c>
      <c r="I9" s="12">
        <f t="shared" si="1"/>
        <v>12.842105263157894</v>
      </c>
      <c r="J9" s="9">
        <v>1082</v>
      </c>
      <c r="K9" s="9">
        <v>185</v>
      </c>
      <c r="L9" s="10">
        <f t="shared" si="2"/>
        <v>17.097966728280962</v>
      </c>
      <c r="M9" s="9"/>
      <c r="N9" s="9">
        <v>788</v>
      </c>
      <c r="O9" s="7" t="e">
        <f t="shared" si="3"/>
        <v>#DIV/0!</v>
      </c>
    </row>
    <row r="10" spans="1:15" ht="29" x14ac:dyDescent="0.45">
      <c r="A10" s="13" t="s">
        <v>6</v>
      </c>
      <c r="B10" s="17"/>
      <c r="C10" s="17">
        <v>0</v>
      </c>
      <c r="D10" s="11">
        <v>488</v>
      </c>
      <c r="E10" s="9">
        <v>61</v>
      </c>
      <c r="F10" s="10">
        <f t="shared" si="0"/>
        <v>12.5</v>
      </c>
      <c r="G10" s="11">
        <v>488</v>
      </c>
      <c r="H10" s="9">
        <v>52</v>
      </c>
      <c r="I10" s="12">
        <f t="shared" si="1"/>
        <v>10.655737704918032</v>
      </c>
      <c r="J10" s="9">
        <v>514</v>
      </c>
      <c r="K10" s="9">
        <v>113</v>
      </c>
      <c r="L10" s="10">
        <f t="shared" si="2"/>
        <v>21.98443579766537</v>
      </c>
      <c r="M10" s="9"/>
      <c r="N10" s="9">
        <v>378</v>
      </c>
      <c r="O10" s="7" t="e">
        <f t="shared" si="3"/>
        <v>#DIV/0!</v>
      </c>
    </row>
    <row r="11" spans="1:15" ht="29" x14ac:dyDescent="0.45">
      <c r="A11" s="13" t="s">
        <v>7</v>
      </c>
      <c r="B11" s="17"/>
      <c r="C11" s="17">
        <v>23</v>
      </c>
      <c r="D11" s="11">
        <v>224</v>
      </c>
      <c r="E11" s="9">
        <v>21</v>
      </c>
      <c r="F11" s="10">
        <f t="shared" si="0"/>
        <v>9.375</v>
      </c>
      <c r="G11" s="11">
        <v>224</v>
      </c>
      <c r="H11" s="9">
        <v>52</v>
      </c>
      <c r="I11" s="12">
        <f t="shared" si="1"/>
        <v>23.214285714285715</v>
      </c>
      <c r="J11" s="9">
        <v>243</v>
      </c>
      <c r="K11" s="9">
        <v>107</v>
      </c>
      <c r="L11" s="10">
        <f t="shared" si="2"/>
        <v>44.032921810699591</v>
      </c>
      <c r="M11" s="9"/>
      <c r="N11" s="9">
        <v>131</v>
      </c>
      <c r="O11" s="7" t="e">
        <f t="shared" si="3"/>
        <v>#DIV/0!</v>
      </c>
    </row>
    <row r="12" spans="1:15" ht="16.5" x14ac:dyDescent="0.45">
      <c r="A12" s="13" t="s">
        <v>8</v>
      </c>
      <c r="B12" s="17"/>
      <c r="C12" s="17">
        <v>9</v>
      </c>
      <c r="D12" s="11">
        <v>135</v>
      </c>
      <c r="E12" s="9">
        <v>34</v>
      </c>
      <c r="F12" s="10">
        <f t="shared" si="0"/>
        <v>25.185185185185183</v>
      </c>
      <c r="G12" s="11">
        <v>135</v>
      </c>
      <c r="H12" s="9">
        <v>30</v>
      </c>
      <c r="I12" s="12">
        <f t="shared" si="1"/>
        <v>22.222222222222221</v>
      </c>
      <c r="J12" s="9">
        <v>190</v>
      </c>
      <c r="K12" s="9">
        <v>51</v>
      </c>
      <c r="L12" s="10">
        <f t="shared" si="2"/>
        <v>26.842105263157894</v>
      </c>
      <c r="M12" s="9"/>
      <c r="N12" s="9">
        <v>315</v>
      </c>
      <c r="O12" s="7" t="e">
        <f t="shared" si="3"/>
        <v>#DIV/0!</v>
      </c>
    </row>
    <row r="13" spans="1:15" ht="29" x14ac:dyDescent="0.45">
      <c r="A13" s="13" t="s">
        <v>9</v>
      </c>
      <c r="B13" s="17"/>
      <c r="C13" s="17">
        <v>57</v>
      </c>
      <c r="D13" s="11">
        <v>1283</v>
      </c>
      <c r="E13" s="9">
        <v>166</v>
      </c>
      <c r="F13" s="10">
        <f t="shared" si="0"/>
        <v>12.93842556508184</v>
      </c>
      <c r="G13" s="11">
        <v>1283</v>
      </c>
      <c r="H13" s="9">
        <v>149</v>
      </c>
      <c r="I13" s="12">
        <f t="shared" si="1"/>
        <v>11.61340607950117</v>
      </c>
      <c r="J13" s="9">
        <v>1399</v>
      </c>
      <c r="K13" s="9">
        <v>169</v>
      </c>
      <c r="L13" s="10">
        <f t="shared" si="2"/>
        <v>12.080057183702644</v>
      </c>
      <c r="M13" s="9"/>
      <c r="N13" s="9">
        <v>622</v>
      </c>
      <c r="O13" s="7" t="e">
        <f t="shared" si="3"/>
        <v>#DIV/0!</v>
      </c>
    </row>
    <row r="14" spans="1:15" ht="16.5" x14ac:dyDescent="0.45">
      <c r="A14" s="13" t="s">
        <v>10</v>
      </c>
      <c r="B14" s="17"/>
      <c r="C14" s="17">
        <v>6</v>
      </c>
      <c r="D14" s="11">
        <v>581</v>
      </c>
      <c r="E14" s="9">
        <v>76</v>
      </c>
      <c r="F14" s="10">
        <f t="shared" si="0"/>
        <v>13.080895008605854</v>
      </c>
      <c r="G14" s="11">
        <v>581</v>
      </c>
      <c r="H14" s="9">
        <v>91</v>
      </c>
      <c r="I14" s="12">
        <f t="shared" si="1"/>
        <v>15.66265060240964</v>
      </c>
      <c r="J14" s="9">
        <v>608</v>
      </c>
      <c r="K14" s="9">
        <v>74</v>
      </c>
      <c r="L14" s="10">
        <f t="shared" si="2"/>
        <v>12.171052631578947</v>
      </c>
      <c r="M14" s="9"/>
      <c r="N14" s="9">
        <v>865</v>
      </c>
      <c r="O14" s="7" t="e">
        <f t="shared" si="3"/>
        <v>#DIV/0!</v>
      </c>
    </row>
    <row r="15" spans="1:15" ht="16.5" x14ac:dyDescent="0.45">
      <c r="A15" s="13" t="s">
        <v>11</v>
      </c>
      <c r="B15" s="17"/>
      <c r="C15" s="17">
        <v>23</v>
      </c>
      <c r="D15" s="11">
        <v>166</v>
      </c>
      <c r="E15" s="9">
        <v>15</v>
      </c>
      <c r="F15" s="10">
        <f t="shared" si="0"/>
        <v>9.0361445783132535</v>
      </c>
      <c r="G15" s="11">
        <v>166</v>
      </c>
      <c r="H15" s="9">
        <v>33</v>
      </c>
      <c r="I15" s="12">
        <f t="shared" si="1"/>
        <v>19.879518072289155</v>
      </c>
      <c r="J15" s="9">
        <v>177</v>
      </c>
      <c r="K15" s="9">
        <v>42</v>
      </c>
      <c r="L15" s="10">
        <f t="shared" si="2"/>
        <v>23.728813559322035</v>
      </c>
      <c r="M15" s="9"/>
      <c r="N15" s="9">
        <v>201</v>
      </c>
      <c r="O15" s="7" t="e">
        <f t="shared" si="3"/>
        <v>#DIV/0!</v>
      </c>
    </row>
    <row r="16" spans="1:15" ht="16.5" x14ac:dyDescent="0.45">
      <c r="A16" s="13" t="s">
        <v>12</v>
      </c>
      <c r="B16" s="17"/>
      <c r="C16" s="17">
        <v>44</v>
      </c>
      <c r="D16" s="11">
        <v>952</v>
      </c>
      <c r="E16" s="9">
        <v>80</v>
      </c>
      <c r="F16" s="10">
        <f t="shared" si="0"/>
        <v>8.4033613445378155</v>
      </c>
      <c r="G16" s="11">
        <v>952</v>
      </c>
      <c r="H16" s="9">
        <v>84</v>
      </c>
      <c r="I16" s="12">
        <f t="shared" si="1"/>
        <v>8.8235294117647065</v>
      </c>
      <c r="J16" s="9">
        <v>851</v>
      </c>
      <c r="K16" s="9">
        <v>158</v>
      </c>
      <c r="L16" s="10">
        <f t="shared" si="2"/>
        <v>18.566392479435958</v>
      </c>
      <c r="M16" s="9"/>
      <c r="N16" s="9">
        <v>1938</v>
      </c>
      <c r="O16" s="7" t="e">
        <f t="shared" si="3"/>
        <v>#DIV/0!</v>
      </c>
    </row>
    <row r="17" spans="1:15" ht="29" x14ac:dyDescent="0.45">
      <c r="A17" s="13" t="s">
        <v>13</v>
      </c>
      <c r="B17" s="17"/>
      <c r="C17" s="17">
        <v>8</v>
      </c>
      <c r="D17" s="11">
        <v>403</v>
      </c>
      <c r="E17" s="9">
        <v>128</v>
      </c>
      <c r="F17" s="10">
        <f t="shared" si="0"/>
        <v>31.761786600496279</v>
      </c>
      <c r="G17" s="11">
        <v>403</v>
      </c>
      <c r="H17" s="9">
        <v>90</v>
      </c>
      <c r="I17" s="12">
        <f t="shared" si="1"/>
        <v>22.332506203473944</v>
      </c>
      <c r="J17" s="9">
        <v>254</v>
      </c>
      <c r="K17" s="9">
        <v>104</v>
      </c>
      <c r="L17" s="10">
        <f t="shared" si="2"/>
        <v>40.944881889763778</v>
      </c>
      <c r="M17" s="9"/>
      <c r="N17" s="9">
        <v>304</v>
      </c>
      <c r="O17" s="7" t="e">
        <f t="shared" si="3"/>
        <v>#DIV/0!</v>
      </c>
    </row>
    <row r="18" spans="1:15" ht="16.5" x14ac:dyDescent="0.45">
      <c r="A18" s="14" t="s">
        <v>14</v>
      </c>
      <c r="B18" s="17"/>
      <c r="C18" s="17">
        <v>1</v>
      </c>
      <c r="D18" s="11">
        <v>643</v>
      </c>
      <c r="E18" s="9">
        <v>118</v>
      </c>
      <c r="F18" s="10">
        <f t="shared" si="0"/>
        <v>18.351477449455679</v>
      </c>
      <c r="G18" s="11">
        <v>643</v>
      </c>
      <c r="H18" s="9">
        <v>78</v>
      </c>
      <c r="I18" s="12">
        <f t="shared" si="1"/>
        <v>12.130637636080872</v>
      </c>
      <c r="J18" s="9">
        <v>843</v>
      </c>
      <c r="K18" s="9">
        <v>103</v>
      </c>
      <c r="L18" s="10">
        <f t="shared" si="2"/>
        <v>12.218268090154211</v>
      </c>
      <c r="M18" s="9"/>
      <c r="N18" s="9">
        <v>243</v>
      </c>
      <c r="O18" s="7" t="e">
        <f t="shared" si="3"/>
        <v>#DIV/0!</v>
      </c>
    </row>
    <row r="19" spans="1:15" ht="43.5" x14ac:dyDescent="0.45">
      <c r="A19" s="14" t="s">
        <v>15</v>
      </c>
      <c r="B19" s="17"/>
      <c r="C19" s="17">
        <v>36</v>
      </c>
      <c r="D19" s="11">
        <v>236</v>
      </c>
      <c r="E19" s="9">
        <v>43</v>
      </c>
      <c r="F19" s="10">
        <f t="shared" si="0"/>
        <v>18.220338983050848</v>
      </c>
      <c r="G19" s="11">
        <v>236</v>
      </c>
      <c r="H19" s="9">
        <v>43</v>
      </c>
      <c r="I19" s="12">
        <f t="shared" si="1"/>
        <v>18.220338983050848</v>
      </c>
      <c r="J19" s="9">
        <v>231</v>
      </c>
      <c r="K19" s="9">
        <v>46</v>
      </c>
      <c r="L19" s="10">
        <f t="shared" si="2"/>
        <v>19.913419913419915</v>
      </c>
      <c r="M19" s="9"/>
      <c r="N19" s="9">
        <v>225</v>
      </c>
      <c r="O19" s="7" t="e">
        <f t="shared" si="3"/>
        <v>#DIV/0!</v>
      </c>
    </row>
    <row r="20" spans="1:15" ht="29" x14ac:dyDescent="0.45">
      <c r="A20" s="14" t="s">
        <v>16</v>
      </c>
      <c r="B20" s="17"/>
      <c r="C20" s="17">
        <v>74</v>
      </c>
      <c r="D20" s="11">
        <v>5736</v>
      </c>
      <c r="E20" s="9">
        <v>890</v>
      </c>
      <c r="F20" s="10">
        <f t="shared" si="0"/>
        <v>15.516039051603906</v>
      </c>
      <c r="G20" s="11">
        <v>5736</v>
      </c>
      <c r="H20" s="9">
        <v>667</v>
      </c>
      <c r="I20" s="12">
        <f t="shared" si="1"/>
        <v>11.628312412831242</v>
      </c>
      <c r="J20" s="9">
        <v>6878</v>
      </c>
      <c r="K20" s="9">
        <v>708</v>
      </c>
      <c r="L20" s="10">
        <f t="shared" si="2"/>
        <v>10.293690026170399</v>
      </c>
      <c r="M20" s="9"/>
      <c r="N20" s="9">
        <v>3572</v>
      </c>
      <c r="O20" s="7" t="e">
        <f t="shared" si="3"/>
        <v>#DIV/0!</v>
      </c>
    </row>
    <row r="21" spans="1:15" ht="16.5" x14ac:dyDescent="0.45">
      <c r="A21" s="14" t="s">
        <v>17</v>
      </c>
      <c r="B21" s="17"/>
      <c r="C21" s="17">
        <v>14</v>
      </c>
      <c r="D21" s="11">
        <v>2230</v>
      </c>
      <c r="E21" s="9">
        <v>411</v>
      </c>
      <c r="F21" s="10">
        <f t="shared" si="0"/>
        <v>18.430493273542599</v>
      </c>
      <c r="G21" s="11">
        <v>2230</v>
      </c>
      <c r="H21" s="9">
        <v>369</v>
      </c>
      <c r="I21" s="12">
        <f t="shared" si="1"/>
        <v>16.54708520179372</v>
      </c>
      <c r="J21" s="9">
        <v>2609</v>
      </c>
      <c r="K21" s="9">
        <v>471</v>
      </c>
      <c r="L21" s="10">
        <f t="shared" si="2"/>
        <v>18.052893829053275</v>
      </c>
      <c r="M21" s="9"/>
      <c r="N21" s="9">
        <v>4040</v>
      </c>
      <c r="O21" s="7" t="e">
        <f t="shared" si="3"/>
        <v>#DIV/0!</v>
      </c>
    </row>
    <row r="22" spans="1:15" ht="16.5" x14ac:dyDescent="0.45">
      <c r="A22" s="14" t="s">
        <v>18</v>
      </c>
      <c r="B22" s="17"/>
      <c r="C22" s="17">
        <v>0</v>
      </c>
      <c r="D22" s="11">
        <v>543</v>
      </c>
      <c r="E22" s="9">
        <v>107</v>
      </c>
      <c r="F22" s="10">
        <f t="shared" si="0"/>
        <v>19.705340699815839</v>
      </c>
      <c r="G22" s="11">
        <v>543</v>
      </c>
      <c r="H22" s="9">
        <v>104</v>
      </c>
      <c r="I22" s="12">
        <f t="shared" si="1"/>
        <v>19.152854511970535</v>
      </c>
      <c r="J22" s="9">
        <v>634</v>
      </c>
      <c r="K22" s="9">
        <v>156</v>
      </c>
      <c r="L22" s="10">
        <f t="shared" si="2"/>
        <v>24.605678233438486</v>
      </c>
      <c r="M22" s="9"/>
      <c r="N22" s="9">
        <v>856</v>
      </c>
      <c r="O22" s="7" t="e">
        <f t="shared" si="3"/>
        <v>#DIV/0!</v>
      </c>
    </row>
    <row r="23" spans="1:15" ht="16.5" x14ac:dyDescent="0.45">
      <c r="A23" s="14" t="s">
        <v>19</v>
      </c>
      <c r="B23" s="17"/>
      <c r="C23" s="17">
        <v>0</v>
      </c>
      <c r="D23" s="11">
        <v>284</v>
      </c>
      <c r="E23" s="9">
        <v>61</v>
      </c>
      <c r="F23" s="10">
        <f t="shared" si="0"/>
        <v>21.47887323943662</v>
      </c>
      <c r="G23" s="11">
        <v>284</v>
      </c>
      <c r="H23" s="9">
        <v>52</v>
      </c>
      <c r="I23" s="12">
        <f t="shared" si="1"/>
        <v>18.30985915492958</v>
      </c>
      <c r="J23" s="9">
        <v>376</v>
      </c>
      <c r="K23" s="9">
        <v>113</v>
      </c>
      <c r="L23" s="10">
        <f t="shared" si="2"/>
        <v>30.053191489361701</v>
      </c>
      <c r="M23" s="9"/>
      <c r="N23" s="9">
        <v>378</v>
      </c>
      <c r="O23" s="7" t="e">
        <f t="shared" si="3"/>
        <v>#DIV/0!</v>
      </c>
    </row>
    <row r="24" spans="1:15" ht="29" x14ac:dyDescent="0.45">
      <c r="A24" s="14" t="s">
        <v>20</v>
      </c>
      <c r="B24" s="17"/>
      <c r="C24" s="17">
        <v>2</v>
      </c>
      <c r="D24" s="11">
        <v>220</v>
      </c>
      <c r="E24" s="9">
        <v>40</v>
      </c>
      <c r="F24" s="10">
        <f t="shared" si="0"/>
        <v>18.181818181818183</v>
      </c>
      <c r="G24" s="11">
        <v>220</v>
      </c>
      <c r="H24" s="9">
        <v>64</v>
      </c>
      <c r="I24" s="12">
        <f t="shared" si="1"/>
        <v>29.09090909090909</v>
      </c>
      <c r="J24" s="9">
        <v>212</v>
      </c>
      <c r="K24" s="9">
        <v>130</v>
      </c>
      <c r="L24" s="10">
        <f t="shared" si="2"/>
        <v>61.320754716981128</v>
      </c>
      <c r="M24" s="9"/>
      <c r="N24" s="9">
        <v>154</v>
      </c>
      <c r="O24" s="7" t="e">
        <f t="shared" si="3"/>
        <v>#DIV/0!</v>
      </c>
    </row>
    <row r="25" spans="1:15" ht="29" x14ac:dyDescent="0.45">
      <c r="A25" s="14" t="s">
        <v>21</v>
      </c>
      <c r="B25" s="17"/>
      <c r="C25" s="17">
        <v>0</v>
      </c>
      <c r="D25" s="11">
        <v>228</v>
      </c>
      <c r="E25" s="9">
        <v>28</v>
      </c>
      <c r="F25" s="10">
        <f t="shared" si="0"/>
        <v>12.280701754385964</v>
      </c>
      <c r="G25" s="11">
        <v>228</v>
      </c>
      <c r="H25" s="9">
        <v>26</v>
      </c>
      <c r="I25" s="12">
        <f t="shared" si="1"/>
        <v>11.403508771929824</v>
      </c>
      <c r="J25" s="9">
        <v>219</v>
      </c>
      <c r="K25" s="9">
        <v>39</v>
      </c>
      <c r="L25" s="10">
        <f t="shared" si="2"/>
        <v>17.80821917808219</v>
      </c>
      <c r="M25" s="9"/>
      <c r="N25" s="9">
        <v>295</v>
      </c>
      <c r="O25" s="7" t="e">
        <f t="shared" si="3"/>
        <v>#DIV/0!</v>
      </c>
    </row>
    <row r="26" spans="1:15" ht="29" x14ac:dyDescent="0.45">
      <c r="A26" s="14" t="s">
        <v>22</v>
      </c>
      <c r="B26" s="17"/>
      <c r="C26" s="17">
        <v>0</v>
      </c>
      <c r="D26" s="11">
        <v>33</v>
      </c>
      <c r="E26" s="9">
        <v>20</v>
      </c>
      <c r="F26" s="10">
        <f t="shared" si="0"/>
        <v>60.606060606060609</v>
      </c>
      <c r="G26" s="11">
        <v>33</v>
      </c>
      <c r="H26" s="9">
        <v>7</v>
      </c>
      <c r="I26" s="12">
        <f t="shared" si="1"/>
        <v>21.212121212121211</v>
      </c>
      <c r="J26" s="9">
        <v>38</v>
      </c>
      <c r="K26" s="9">
        <v>2</v>
      </c>
      <c r="L26" s="10">
        <f t="shared" si="2"/>
        <v>5.2631578947368416</v>
      </c>
      <c r="M26" s="9"/>
      <c r="N26" s="9">
        <v>150</v>
      </c>
      <c r="O26" s="7" t="e">
        <f t="shared" si="3"/>
        <v>#DIV/0!</v>
      </c>
    </row>
    <row r="27" spans="1:15" ht="29" x14ac:dyDescent="0.45">
      <c r="A27" s="14" t="s">
        <v>23</v>
      </c>
      <c r="B27" s="17"/>
      <c r="C27" s="17">
        <v>0</v>
      </c>
      <c r="D27" s="11">
        <v>38</v>
      </c>
      <c r="E27" s="9">
        <v>6</v>
      </c>
      <c r="F27" s="10">
        <f t="shared" si="0"/>
        <v>15.789473684210526</v>
      </c>
      <c r="G27" s="11">
        <v>38</v>
      </c>
      <c r="H27" s="9">
        <v>3</v>
      </c>
      <c r="I27" s="12">
        <f t="shared" si="1"/>
        <v>7.8947368421052628</v>
      </c>
      <c r="J27" s="9">
        <v>41</v>
      </c>
      <c r="K27" s="9">
        <v>4</v>
      </c>
      <c r="L27" s="10">
        <f t="shared" si="2"/>
        <v>9.7560975609756095</v>
      </c>
      <c r="M27" s="9"/>
      <c r="N27" s="9">
        <v>70</v>
      </c>
      <c r="O27" s="7" t="e">
        <f t="shared" si="3"/>
        <v>#DIV/0!</v>
      </c>
    </row>
    <row r="28" spans="1:15" ht="16.5" x14ac:dyDescent="0.45">
      <c r="A28" s="14" t="s">
        <v>24</v>
      </c>
      <c r="B28" s="17"/>
      <c r="C28" s="17">
        <v>0</v>
      </c>
      <c r="D28" s="11">
        <v>130</v>
      </c>
      <c r="E28" s="9">
        <v>14</v>
      </c>
      <c r="F28" s="10">
        <f t="shared" si="0"/>
        <v>10.76923076923077</v>
      </c>
      <c r="G28" s="11">
        <v>130</v>
      </c>
      <c r="H28" s="9">
        <v>41</v>
      </c>
      <c r="I28" s="12">
        <f t="shared" si="1"/>
        <v>31.538461538461537</v>
      </c>
      <c r="J28" s="9">
        <v>140</v>
      </c>
      <c r="K28" s="9">
        <v>39</v>
      </c>
      <c r="L28" s="10">
        <f t="shared" si="2"/>
        <v>27.857142857142858</v>
      </c>
      <c r="M28" s="9"/>
      <c r="N28" s="9">
        <v>151</v>
      </c>
      <c r="O28" s="7" t="e">
        <f t="shared" si="3"/>
        <v>#DIV/0!</v>
      </c>
    </row>
    <row r="29" spans="1:15" ht="16.5" x14ac:dyDescent="0.45">
      <c r="A29" s="14" t="s">
        <v>25</v>
      </c>
      <c r="B29" s="17"/>
      <c r="C29" s="17">
        <v>0</v>
      </c>
      <c r="D29" s="11">
        <v>278</v>
      </c>
      <c r="E29" s="9">
        <v>68</v>
      </c>
      <c r="F29" s="10">
        <f t="shared" si="0"/>
        <v>24.46043165467626</v>
      </c>
      <c r="G29" s="11">
        <v>278</v>
      </c>
      <c r="H29" s="9">
        <v>74</v>
      </c>
      <c r="I29" s="12">
        <f t="shared" si="1"/>
        <v>26.618705035971225</v>
      </c>
      <c r="J29" s="9">
        <v>348</v>
      </c>
      <c r="K29" s="9">
        <v>127</v>
      </c>
      <c r="L29" s="10">
        <f t="shared" si="2"/>
        <v>36.494252873563219</v>
      </c>
      <c r="M29" s="9"/>
      <c r="N29" s="9">
        <v>85</v>
      </c>
      <c r="O29" s="7" t="e">
        <f t="shared" si="3"/>
        <v>#DIV/0!</v>
      </c>
    </row>
    <row r="30" spans="1:15" ht="16.5" x14ac:dyDescent="0.45">
      <c r="A30" s="15" t="s">
        <v>26</v>
      </c>
      <c r="B30" s="17"/>
      <c r="C30" s="17">
        <v>13</v>
      </c>
      <c r="D30" s="11">
        <v>499</v>
      </c>
      <c r="E30" s="9">
        <v>81</v>
      </c>
      <c r="F30" s="10">
        <f t="shared" si="0"/>
        <v>16.23246492985972</v>
      </c>
      <c r="G30" s="11">
        <v>499</v>
      </c>
      <c r="H30" s="9">
        <v>72</v>
      </c>
      <c r="I30" s="12">
        <f t="shared" si="1"/>
        <v>14.428857715430862</v>
      </c>
      <c r="J30" s="9">
        <v>560</v>
      </c>
      <c r="K30" s="9">
        <v>106</v>
      </c>
      <c r="L30" s="10">
        <f t="shared" si="2"/>
        <v>18.928571428571427</v>
      </c>
      <c r="M30" s="9"/>
      <c r="N30" s="9">
        <v>330</v>
      </c>
      <c r="O30" s="7" t="e">
        <f t="shared" si="3"/>
        <v>#DIV/0!</v>
      </c>
    </row>
    <row r="31" spans="1:15" ht="16.5" x14ac:dyDescent="0.45">
      <c r="A31" s="15" t="s">
        <v>27</v>
      </c>
      <c r="B31" s="17"/>
      <c r="C31" s="17">
        <v>0</v>
      </c>
      <c r="D31" s="11">
        <v>54</v>
      </c>
      <c r="E31" s="9">
        <v>7</v>
      </c>
      <c r="F31" s="10">
        <f t="shared" si="0"/>
        <v>12.962962962962962</v>
      </c>
      <c r="G31" s="11">
        <v>54</v>
      </c>
      <c r="H31" s="9">
        <v>20</v>
      </c>
      <c r="I31" s="12">
        <f t="shared" si="1"/>
        <v>37.037037037037038</v>
      </c>
      <c r="J31" s="9">
        <v>51</v>
      </c>
      <c r="K31" s="9">
        <v>26</v>
      </c>
      <c r="L31" s="10">
        <f t="shared" si="2"/>
        <v>50.980392156862742</v>
      </c>
      <c r="M31" s="9"/>
      <c r="N31" s="9">
        <v>11</v>
      </c>
      <c r="O31" s="7" t="e">
        <f t="shared" si="3"/>
        <v>#DIV/0!</v>
      </c>
    </row>
    <row r="32" spans="1:15" ht="16.5" x14ac:dyDescent="0.45">
      <c r="A32" s="15" t="s">
        <v>28</v>
      </c>
      <c r="B32" s="17"/>
      <c r="C32" s="17">
        <v>0</v>
      </c>
      <c r="D32" s="11">
        <v>137</v>
      </c>
      <c r="E32" s="9">
        <v>19</v>
      </c>
      <c r="F32" s="10">
        <f t="shared" si="0"/>
        <v>13.868613138686131</v>
      </c>
      <c r="G32" s="11">
        <v>137</v>
      </c>
      <c r="H32" s="9">
        <v>18</v>
      </c>
      <c r="I32" s="12">
        <f t="shared" si="1"/>
        <v>13.138686131386862</v>
      </c>
      <c r="J32" s="9">
        <v>184</v>
      </c>
      <c r="K32" s="9">
        <v>14</v>
      </c>
      <c r="L32" s="10">
        <f t="shared" si="2"/>
        <v>7.608695652173914</v>
      </c>
      <c r="M32" s="9"/>
      <c r="N32" s="9">
        <v>4</v>
      </c>
      <c r="O32" s="7" t="e">
        <f t="shared" si="3"/>
        <v>#DIV/0!</v>
      </c>
    </row>
    <row r="33" spans="1:15" ht="16.5" x14ac:dyDescent="0.45">
      <c r="A33" s="15" t="s">
        <v>29</v>
      </c>
      <c r="B33" s="17"/>
      <c r="C33" s="17">
        <v>7</v>
      </c>
      <c r="D33" s="11">
        <v>443</v>
      </c>
      <c r="E33" s="9">
        <v>199</v>
      </c>
      <c r="F33" s="10">
        <f t="shared" si="0"/>
        <v>44.920993227990969</v>
      </c>
      <c r="G33" s="11">
        <v>443</v>
      </c>
      <c r="H33" s="9">
        <v>223</v>
      </c>
      <c r="I33" s="12">
        <f t="shared" si="1"/>
        <v>50.338600451467265</v>
      </c>
      <c r="J33" s="9">
        <v>425</v>
      </c>
      <c r="K33" s="9">
        <v>195</v>
      </c>
      <c r="L33" s="10">
        <f t="shared" si="2"/>
        <v>45.882352941176471</v>
      </c>
      <c r="M33" s="9"/>
      <c r="N33" s="9">
        <v>881</v>
      </c>
      <c r="O33" s="7" t="e">
        <f t="shared" si="3"/>
        <v>#DIV/0!</v>
      </c>
    </row>
    <row r="34" spans="1:15" ht="16.5" x14ac:dyDescent="0.45">
      <c r="A34" s="15" t="s">
        <v>30</v>
      </c>
      <c r="B34" s="17"/>
      <c r="C34" s="17">
        <v>0</v>
      </c>
      <c r="D34" s="11">
        <v>99</v>
      </c>
      <c r="E34" s="9">
        <v>14</v>
      </c>
      <c r="F34" s="10">
        <f t="shared" si="0"/>
        <v>14.14141414141414</v>
      </c>
      <c r="G34" s="11">
        <v>99</v>
      </c>
      <c r="H34" s="9">
        <v>12</v>
      </c>
      <c r="I34" s="12">
        <f t="shared" si="1"/>
        <v>12.121212121212121</v>
      </c>
      <c r="J34" s="9">
        <v>95</v>
      </c>
      <c r="K34" s="9">
        <v>18</v>
      </c>
      <c r="L34" s="10">
        <f t="shared" si="2"/>
        <v>18.947368421052634</v>
      </c>
      <c r="M34" s="9"/>
      <c r="N34" s="9">
        <v>1</v>
      </c>
      <c r="O34" s="7" t="e">
        <f t="shared" si="3"/>
        <v>#DIV/0!</v>
      </c>
    </row>
    <row r="35" spans="1:15" ht="43.5" x14ac:dyDescent="0.45">
      <c r="A35" s="15" t="s">
        <v>31</v>
      </c>
      <c r="B35" s="17"/>
      <c r="C35" s="17">
        <v>22</v>
      </c>
      <c r="D35" s="11">
        <v>1467</v>
      </c>
      <c r="E35" s="9">
        <v>151</v>
      </c>
      <c r="F35" s="10">
        <f t="shared" si="0"/>
        <v>10.293115201090661</v>
      </c>
      <c r="G35" s="11">
        <v>1467</v>
      </c>
      <c r="H35" s="9">
        <v>222</v>
      </c>
      <c r="I35" s="12">
        <f t="shared" si="1"/>
        <v>15.132924335378323</v>
      </c>
      <c r="J35" s="9">
        <v>1144</v>
      </c>
      <c r="K35" s="9">
        <v>132</v>
      </c>
      <c r="L35" s="10">
        <f t="shared" si="2"/>
        <v>11.538461538461538</v>
      </c>
      <c r="M35" s="9"/>
      <c r="N35" s="9">
        <v>549</v>
      </c>
      <c r="O35" s="7" t="e">
        <f t="shared" si="3"/>
        <v>#DIV/0!</v>
      </c>
    </row>
    <row r="36" spans="1:15" ht="29" x14ac:dyDescent="0.45">
      <c r="A36" s="15" t="s">
        <v>32</v>
      </c>
      <c r="B36" s="17"/>
      <c r="C36" s="17">
        <v>5</v>
      </c>
      <c r="D36" s="11">
        <v>30</v>
      </c>
      <c r="E36" s="9">
        <v>28</v>
      </c>
      <c r="F36" s="10">
        <f t="shared" si="0"/>
        <v>93.333333333333329</v>
      </c>
      <c r="G36" s="11">
        <v>30</v>
      </c>
      <c r="H36" s="9">
        <v>29</v>
      </c>
      <c r="I36" s="12">
        <f t="shared" si="1"/>
        <v>96.666666666666671</v>
      </c>
      <c r="J36" s="9">
        <v>50</v>
      </c>
      <c r="K36" s="9">
        <v>40</v>
      </c>
      <c r="L36" s="10">
        <f t="shared" si="2"/>
        <v>80</v>
      </c>
      <c r="M36" s="9"/>
      <c r="N36" s="9">
        <v>23</v>
      </c>
      <c r="O36" s="7" t="e">
        <f t="shared" si="3"/>
        <v>#DIV/0!</v>
      </c>
    </row>
    <row r="37" spans="1:15" ht="16.5" x14ac:dyDescent="0.45">
      <c r="A37" s="15" t="s">
        <v>33</v>
      </c>
      <c r="B37" s="17"/>
      <c r="C37" s="17">
        <v>0</v>
      </c>
      <c r="D37" s="11">
        <v>112</v>
      </c>
      <c r="E37" s="9">
        <v>25</v>
      </c>
      <c r="F37" s="10">
        <f t="shared" si="0"/>
        <v>22.321428571428573</v>
      </c>
      <c r="G37" s="11">
        <v>112</v>
      </c>
      <c r="H37" s="9">
        <v>14</v>
      </c>
      <c r="I37" s="12">
        <f t="shared" si="1"/>
        <v>12.5</v>
      </c>
      <c r="J37" s="9">
        <v>133</v>
      </c>
      <c r="K37" s="9">
        <v>32</v>
      </c>
      <c r="L37" s="10">
        <f t="shared" si="2"/>
        <v>24.060150375939848</v>
      </c>
      <c r="M37" s="9"/>
      <c r="N37" s="9">
        <v>1</v>
      </c>
      <c r="O37" s="7" t="e">
        <f t="shared" si="3"/>
        <v>#DIV/0!</v>
      </c>
    </row>
    <row r="38" spans="1:15" ht="29" x14ac:dyDescent="0.45">
      <c r="A38" s="16" t="s">
        <v>34</v>
      </c>
      <c r="B38" s="17"/>
      <c r="C38" s="17">
        <v>0</v>
      </c>
      <c r="D38" s="11">
        <v>61</v>
      </c>
      <c r="E38" s="9">
        <v>7</v>
      </c>
      <c r="F38" s="10">
        <f t="shared" si="0"/>
        <v>11.475409836065573</v>
      </c>
      <c r="G38" s="11">
        <v>61</v>
      </c>
      <c r="H38" s="9">
        <v>13</v>
      </c>
      <c r="I38" s="12">
        <f t="shared" si="1"/>
        <v>21.311475409836063</v>
      </c>
      <c r="J38" s="9">
        <v>105</v>
      </c>
      <c r="K38" s="9">
        <v>11</v>
      </c>
      <c r="L38" s="10">
        <f t="shared" si="2"/>
        <v>10.476190476190476</v>
      </c>
      <c r="M38" s="9"/>
      <c r="N38" s="9">
        <v>46</v>
      </c>
      <c r="O38" s="7" t="e">
        <f t="shared" si="3"/>
        <v>#DIV/0!</v>
      </c>
    </row>
    <row r="39" spans="1:15" ht="16.5" x14ac:dyDescent="0.45">
      <c r="A39" s="16" t="s">
        <v>35</v>
      </c>
      <c r="B39" s="17"/>
      <c r="C39" s="17">
        <v>0</v>
      </c>
      <c r="D39" s="11">
        <v>117</v>
      </c>
      <c r="E39" s="9">
        <v>15</v>
      </c>
      <c r="F39" s="10">
        <f t="shared" si="0"/>
        <v>12.820512820512819</v>
      </c>
      <c r="G39" s="11">
        <v>117</v>
      </c>
      <c r="H39" s="9">
        <v>18</v>
      </c>
      <c r="I39" s="12">
        <f t="shared" si="1"/>
        <v>15.384615384615385</v>
      </c>
      <c r="J39" s="9">
        <v>64</v>
      </c>
      <c r="K39" s="9">
        <v>30</v>
      </c>
      <c r="L39" s="10">
        <f t="shared" si="2"/>
        <v>46.875</v>
      </c>
      <c r="M39" s="9"/>
      <c r="N39" s="9">
        <v>207</v>
      </c>
      <c r="O39" s="7" t="e">
        <f t="shared" si="3"/>
        <v>#DIV/0!</v>
      </c>
    </row>
    <row r="40" spans="1:15" ht="16.5" x14ac:dyDescent="0.45">
      <c r="A40" s="16" t="s">
        <v>36</v>
      </c>
      <c r="B40" s="17"/>
      <c r="C40" s="17">
        <v>0</v>
      </c>
      <c r="D40" s="11">
        <v>62</v>
      </c>
      <c r="E40" s="9">
        <v>5</v>
      </c>
      <c r="F40" s="10">
        <f t="shared" si="0"/>
        <v>8.064516129032258</v>
      </c>
      <c r="G40" s="11">
        <v>62</v>
      </c>
      <c r="H40" s="9">
        <v>11</v>
      </c>
      <c r="I40" s="12">
        <f t="shared" si="1"/>
        <v>17.741935483870968</v>
      </c>
      <c r="J40" s="9">
        <v>69</v>
      </c>
      <c r="K40" s="9">
        <v>14</v>
      </c>
      <c r="L40" s="10">
        <f t="shared" si="2"/>
        <v>20.289855072463769</v>
      </c>
      <c r="M40" s="9"/>
      <c r="N40" s="9">
        <v>74</v>
      </c>
      <c r="O40" s="7" t="e">
        <f t="shared" si="3"/>
        <v>#DIV/0!</v>
      </c>
    </row>
    <row r="41" spans="1:15" ht="16.5" x14ac:dyDescent="0.45">
      <c r="A41" s="16" t="s">
        <v>37</v>
      </c>
      <c r="B41" s="17"/>
      <c r="C41" s="17">
        <v>0</v>
      </c>
      <c r="D41" s="11">
        <v>62</v>
      </c>
      <c r="E41" s="9">
        <v>7</v>
      </c>
      <c r="F41" s="10">
        <f t="shared" si="0"/>
        <v>11.29032258064516</v>
      </c>
      <c r="G41" s="11">
        <v>62</v>
      </c>
      <c r="H41" s="9">
        <v>6</v>
      </c>
      <c r="I41" s="12">
        <f t="shared" si="1"/>
        <v>9.67741935483871</v>
      </c>
      <c r="J41" s="9">
        <v>75</v>
      </c>
      <c r="K41" s="9">
        <v>16</v>
      </c>
      <c r="L41" s="10">
        <f t="shared" si="2"/>
        <v>21.333333333333336</v>
      </c>
      <c r="M41" s="9"/>
      <c r="N41" s="9">
        <v>81</v>
      </c>
      <c r="O41" s="7" t="e">
        <f t="shared" si="3"/>
        <v>#DIV/0!</v>
      </c>
    </row>
    <row r="42" spans="1:15" ht="16.5" x14ac:dyDescent="0.45">
      <c r="A42" s="16" t="s">
        <v>38</v>
      </c>
      <c r="B42" s="17"/>
      <c r="C42" s="17">
        <v>8</v>
      </c>
      <c r="D42" s="11">
        <v>130</v>
      </c>
      <c r="E42" s="9">
        <v>19</v>
      </c>
      <c r="F42" s="10">
        <f t="shared" si="0"/>
        <v>14.615384615384617</v>
      </c>
      <c r="G42" s="11">
        <v>130</v>
      </c>
      <c r="H42" s="9">
        <v>15</v>
      </c>
      <c r="I42" s="12">
        <f t="shared" si="1"/>
        <v>11.538461538461538</v>
      </c>
      <c r="J42" s="9">
        <v>123</v>
      </c>
      <c r="K42" s="9">
        <v>43</v>
      </c>
      <c r="L42" s="10">
        <f t="shared" si="2"/>
        <v>34.959349593495936</v>
      </c>
      <c r="M42" s="9"/>
      <c r="N42" s="9">
        <v>162</v>
      </c>
      <c r="O42" s="7" t="e">
        <f t="shared" si="3"/>
        <v>#DIV/0!</v>
      </c>
    </row>
    <row r="43" spans="1:15" ht="16.5" x14ac:dyDescent="0.45">
      <c r="A43" s="16" t="s">
        <v>39</v>
      </c>
      <c r="B43" s="17"/>
      <c r="C43" s="17">
        <v>2</v>
      </c>
      <c r="D43" s="11">
        <v>259</v>
      </c>
      <c r="E43" s="9">
        <v>49</v>
      </c>
      <c r="F43" s="10">
        <f t="shared" si="0"/>
        <v>18.918918918918919</v>
      </c>
      <c r="G43" s="11">
        <v>259</v>
      </c>
      <c r="H43" s="9">
        <v>48</v>
      </c>
      <c r="I43" s="12">
        <f t="shared" si="1"/>
        <v>18.532818532818531</v>
      </c>
      <c r="J43" s="9">
        <v>208</v>
      </c>
      <c r="K43" s="9">
        <v>36</v>
      </c>
      <c r="L43" s="10">
        <f t="shared" si="2"/>
        <v>17.307692307692307</v>
      </c>
      <c r="M43" s="9"/>
      <c r="N43" s="9">
        <v>304</v>
      </c>
      <c r="O43" s="7" t="e">
        <f t="shared" si="3"/>
        <v>#DIV/0!</v>
      </c>
    </row>
    <row r="44" spans="1:15" ht="29" x14ac:dyDescent="0.45">
      <c r="A44" s="16" t="s">
        <v>40</v>
      </c>
      <c r="B44" s="17"/>
      <c r="C44" s="17">
        <v>0</v>
      </c>
      <c r="D44" s="11">
        <v>36</v>
      </c>
      <c r="E44" s="9">
        <v>2</v>
      </c>
      <c r="F44" s="10">
        <f t="shared" si="0"/>
        <v>5.5555555555555554</v>
      </c>
      <c r="G44" s="11">
        <v>36</v>
      </c>
      <c r="H44" s="9">
        <v>3</v>
      </c>
      <c r="I44" s="12">
        <f t="shared" si="1"/>
        <v>8.3333333333333321</v>
      </c>
      <c r="J44" s="9">
        <v>36</v>
      </c>
      <c r="K44" s="9">
        <v>9</v>
      </c>
      <c r="L44" s="10">
        <f t="shared" si="2"/>
        <v>25</v>
      </c>
      <c r="M44" s="9"/>
      <c r="N44" s="9">
        <v>0</v>
      </c>
      <c r="O44" s="7" t="e">
        <f t="shared" si="3"/>
        <v>#DIV/0!</v>
      </c>
    </row>
    <row r="45" spans="1:15" ht="29" x14ac:dyDescent="0.45">
      <c r="A45" s="16" t="s">
        <v>41</v>
      </c>
      <c r="B45" s="17"/>
      <c r="C45" s="17">
        <v>4</v>
      </c>
      <c r="D45" s="11">
        <v>129</v>
      </c>
      <c r="E45" s="9">
        <v>24</v>
      </c>
      <c r="F45" s="10">
        <f t="shared" si="0"/>
        <v>18.604651162790699</v>
      </c>
      <c r="G45" s="11">
        <v>129</v>
      </c>
      <c r="H45" s="9">
        <v>34</v>
      </c>
      <c r="I45" s="12">
        <f t="shared" si="1"/>
        <v>26.356589147286826</v>
      </c>
      <c r="J45" s="9">
        <v>153</v>
      </c>
      <c r="K45" s="9">
        <v>35</v>
      </c>
      <c r="L45" s="10">
        <f t="shared" si="2"/>
        <v>22.875816993464053</v>
      </c>
      <c r="M45" s="9"/>
      <c r="N45" s="9">
        <v>390</v>
      </c>
      <c r="O45" s="7" t="e">
        <f t="shared" si="3"/>
        <v>#DIV/0!</v>
      </c>
    </row>
    <row r="46" spans="1:15" x14ac:dyDescent="0.35">
      <c r="A46" s="40" t="s">
        <v>50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x14ac:dyDescent="0.35">
      <c r="A47" s="34" t="s">
        <v>51</v>
      </c>
      <c r="B47" s="34"/>
      <c r="C47" s="34"/>
      <c r="D47" s="34"/>
      <c r="E47" s="34"/>
    </row>
    <row r="48" spans="1:15" x14ac:dyDescent="0.35">
      <c r="A48" s="35" t="s">
        <v>52</v>
      </c>
      <c r="B48" s="35"/>
      <c r="C48" s="35"/>
      <c r="D48" s="35"/>
      <c r="E48" s="35"/>
    </row>
  </sheetData>
  <mergeCells count="8">
    <mergeCell ref="A46:L46"/>
    <mergeCell ref="A47:E47"/>
    <mergeCell ref="A48:E48"/>
    <mergeCell ref="A1:O1"/>
    <mergeCell ref="A2:O3"/>
    <mergeCell ref="A4:O4"/>
    <mergeCell ref="A5:L5"/>
    <mergeCell ref="M5:O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8"/>
  <sheetViews>
    <sheetView topLeftCell="C1" workbookViewId="0">
      <selection activeCell="M36" sqref="M36"/>
    </sheetView>
  </sheetViews>
  <sheetFormatPr baseColWidth="10" defaultRowHeight="14.5" x14ac:dyDescent="0.35"/>
  <sheetData>
    <row r="1" spans="1:15" ht="23.5" x14ac:dyDescent="0.55000000000000004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4.25" customHeight="1" x14ac:dyDescent="0.35">
      <c r="A2" s="37" t="s">
        <v>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4.2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8.75" customHeight="1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ht="15" customHeight="1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2" t="s">
        <v>49</v>
      </c>
      <c r="N5" s="42"/>
      <c r="O5" s="42"/>
    </row>
    <row r="6" spans="1:15" ht="43.5" x14ac:dyDescent="0.35">
      <c r="A6" s="5" t="s">
        <v>2</v>
      </c>
      <c r="B6" s="5" t="s">
        <v>42</v>
      </c>
      <c r="C6" s="6" t="s">
        <v>54</v>
      </c>
      <c r="D6" s="5" t="s">
        <v>42</v>
      </c>
      <c r="E6" s="6" t="s">
        <v>45</v>
      </c>
      <c r="F6" s="6" t="s">
        <v>44</v>
      </c>
      <c r="G6" s="5" t="s">
        <v>42</v>
      </c>
      <c r="H6" s="6" t="s">
        <v>46</v>
      </c>
      <c r="I6" s="6" t="s">
        <v>44</v>
      </c>
      <c r="J6" s="5" t="s">
        <v>42</v>
      </c>
      <c r="K6" s="6" t="s">
        <v>43</v>
      </c>
      <c r="L6" s="5" t="s">
        <v>44</v>
      </c>
      <c r="M6" s="5" t="s">
        <v>42</v>
      </c>
      <c r="N6" s="6" t="s">
        <v>48</v>
      </c>
      <c r="O6" s="5" t="s">
        <v>44</v>
      </c>
    </row>
    <row r="7" spans="1:15" ht="16.5" x14ac:dyDescent="0.45">
      <c r="A7" s="13" t="s">
        <v>3</v>
      </c>
      <c r="B7" s="17"/>
      <c r="C7" s="18">
        <v>519</v>
      </c>
      <c r="D7" s="11">
        <v>8431</v>
      </c>
      <c r="E7" s="7">
        <v>1776</v>
      </c>
      <c r="F7" s="10">
        <f t="shared" ref="F7:F45" si="0">SUM(E7/D7*100)</f>
        <v>21.065116830743687</v>
      </c>
      <c r="G7" s="11">
        <v>8431</v>
      </c>
      <c r="H7" s="8">
        <v>1313</v>
      </c>
      <c r="I7" s="12">
        <f>SUM(H7/G7*100)</f>
        <v>15.573478828134265</v>
      </c>
      <c r="J7" s="8">
        <v>10719</v>
      </c>
      <c r="K7" s="8">
        <v>1672</v>
      </c>
      <c r="L7" s="10">
        <f>SUM(K7/J7*100)</f>
        <v>15.59847000653046</v>
      </c>
      <c r="M7" s="8"/>
      <c r="N7" s="8">
        <v>10352</v>
      </c>
      <c r="O7" s="7" t="e">
        <f>SUM(N7/M7*100)</f>
        <v>#DIV/0!</v>
      </c>
    </row>
    <row r="8" spans="1:15" ht="29" x14ac:dyDescent="0.45">
      <c r="A8" s="13" t="s">
        <v>4</v>
      </c>
      <c r="B8" s="17"/>
      <c r="C8" s="17">
        <v>21</v>
      </c>
      <c r="D8" s="11">
        <v>576</v>
      </c>
      <c r="E8" s="9">
        <v>158</v>
      </c>
      <c r="F8" s="10">
        <f t="shared" si="0"/>
        <v>27.430555555555557</v>
      </c>
      <c r="G8" s="11">
        <v>576</v>
      </c>
      <c r="H8" s="9">
        <v>147</v>
      </c>
      <c r="I8" s="12">
        <f t="shared" ref="I8:I45" si="1">SUM(H8/G8*100)</f>
        <v>25.520833333333332</v>
      </c>
      <c r="J8" s="9">
        <v>657</v>
      </c>
      <c r="K8" s="9">
        <v>174</v>
      </c>
      <c r="L8" s="10">
        <f t="shared" ref="L8:L45" si="2">SUM(K8/J8*100)</f>
        <v>26.484018264840181</v>
      </c>
      <c r="M8" s="9"/>
      <c r="N8" s="9">
        <v>477</v>
      </c>
      <c r="O8" s="7" t="e">
        <f t="shared" ref="O8:O45" si="3">SUM(N8/M8*100)</f>
        <v>#DIV/0!</v>
      </c>
    </row>
    <row r="9" spans="1:15" ht="16.5" x14ac:dyDescent="0.45">
      <c r="A9" s="13" t="s">
        <v>5</v>
      </c>
      <c r="B9" s="17"/>
      <c r="C9" s="17">
        <v>69</v>
      </c>
      <c r="D9" s="11">
        <v>1425</v>
      </c>
      <c r="E9" s="9">
        <v>223</v>
      </c>
      <c r="F9" s="10">
        <f t="shared" si="0"/>
        <v>15.649122807017543</v>
      </c>
      <c r="G9" s="11">
        <v>1425</v>
      </c>
      <c r="H9" s="9">
        <v>183</v>
      </c>
      <c r="I9" s="12">
        <f t="shared" si="1"/>
        <v>12.842105263157894</v>
      </c>
      <c r="J9" s="9">
        <v>1082</v>
      </c>
      <c r="K9" s="9">
        <v>188</v>
      </c>
      <c r="L9" s="10">
        <f t="shared" si="2"/>
        <v>17.375231053604438</v>
      </c>
      <c r="M9" s="9"/>
      <c r="N9" s="9">
        <v>938</v>
      </c>
      <c r="O9" s="7" t="e">
        <f t="shared" si="3"/>
        <v>#DIV/0!</v>
      </c>
    </row>
    <row r="10" spans="1:15" ht="29" x14ac:dyDescent="0.45">
      <c r="A10" s="13" t="s">
        <v>6</v>
      </c>
      <c r="B10" s="17"/>
      <c r="C10" s="17">
        <v>6</v>
      </c>
      <c r="D10" s="11">
        <v>488</v>
      </c>
      <c r="E10" s="9">
        <v>46</v>
      </c>
      <c r="F10" s="10">
        <f t="shared" si="0"/>
        <v>9.4262295081967213</v>
      </c>
      <c r="G10" s="11">
        <v>488</v>
      </c>
      <c r="H10" s="9">
        <v>61</v>
      </c>
      <c r="I10" s="12">
        <f t="shared" si="1"/>
        <v>12.5</v>
      </c>
      <c r="J10" s="9">
        <v>514</v>
      </c>
      <c r="K10" s="9">
        <v>92</v>
      </c>
      <c r="L10" s="10">
        <f t="shared" si="2"/>
        <v>17.898832684824903</v>
      </c>
      <c r="M10" s="9"/>
      <c r="N10" s="9">
        <v>321</v>
      </c>
      <c r="O10" s="7" t="e">
        <f t="shared" si="3"/>
        <v>#DIV/0!</v>
      </c>
    </row>
    <row r="11" spans="1:15" ht="29" x14ac:dyDescent="0.45">
      <c r="A11" s="13" t="s">
        <v>7</v>
      </c>
      <c r="B11" s="17"/>
      <c r="C11" s="17">
        <v>23</v>
      </c>
      <c r="D11" s="11">
        <v>224</v>
      </c>
      <c r="E11" s="9">
        <v>25</v>
      </c>
      <c r="F11" s="10">
        <f t="shared" si="0"/>
        <v>11.160714285714286</v>
      </c>
      <c r="G11" s="11">
        <v>224</v>
      </c>
      <c r="H11" s="9">
        <v>57</v>
      </c>
      <c r="I11" s="12">
        <f t="shared" si="1"/>
        <v>25.446428571428569</v>
      </c>
      <c r="J11" s="9">
        <v>243</v>
      </c>
      <c r="K11" s="9">
        <v>110</v>
      </c>
      <c r="L11" s="10">
        <f t="shared" si="2"/>
        <v>45.267489711934154</v>
      </c>
      <c r="M11" s="9"/>
      <c r="N11" s="9">
        <v>151</v>
      </c>
      <c r="O11" s="7" t="e">
        <f t="shared" si="3"/>
        <v>#DIV/0!</v>
      </c>
    </row>
    <row r="12" spans="1:15" ht="16.5" x14ac:dyDescent="0.45">
      <c r="A12" s="13" t="s">
        <v>8</v>
      </c>
      <c r="B12" s="17"/>
      <c r="C12" s="17">
        <v>9</v>
      </c>
      <c r="D12" s="11">
        <v>135</v>
      </c>
      <c r="E12" s="9">
        <v>34</v>
      </c>
      <c r="F12" s="10">
        <f t="shared" si="0"/>
        <v>25.185185185185183</v>
      </c>
      <c r="G12" s="11">
        <v>135</v>
      </c>
      <c r="H12" s="9">
        <v>31</v>
      </c>
      <c r="I12" s="12">
        <f t="shared" si="1"/>
        <v>22.962962962962962</v>
      </c>
      <c r="J12" s="9">
        <v>190</v>
      </c>
      <c r="K12" s="9">
        <v>51</v>
      </c>
      <c r="L12" s="10">
        <f t="shared" si="2"/>
        <v>26.842105263157894</v>
      </c>
      <c r="M12" s="9"/>
      <c r="N12" s="9">
        <v>325</v>
      </c>
      <c r="O12" s="7" t="e">
        <f t="shared" si="3"/>
        <v>#DIV/0!</v>
      </c>
    </row>
    <row r="13" spans="1:15" ht="29" x14ac:dyDescent="0.45">
      <c r="A13" s="13" t="s">
        <v>9</v>
      </c>
      <c r="B13" s="17"/>
      <c r="C13" s="17">
        <v>61</v>
      </c>
      <c r="D13" s="11">
        <v>1283</v>
      </c>
      <c r="E13" s="9">
        <v>170</v>
      </c>
      <c r="F13" s="10">
        <f t="shared" si="0"/>
        <v>13.250194855806702</v>
      </c>
      <c r="G13" s="11">
        <v>1283</v>
      </c>
      <c r="H13" s="9">
        <v>151</v>
      </c>
      <c r="I13" s="12">
        <f t="shared" si="1"/>
        <v>11.769290724863602</v>
      </c>
      <c r="J13" s="9">
        <v>1399</v>
      </c>
      <c r="K13" s="9">
        <v>171</v>
      </c>
      <c r="L13" s="10">
        <f t="shared" si="2"/>
        <v>12.22301644031451</v>
      </c>
      <c r="M13" s="9"/>
      <c r="N13" s="9">
        <v>713</v>
      </c>
      <c r="O13" s="7" t="e">
        <f t="shared" si="3"/>
        <v>#DIV/0!</v>
      </c>
    </row>
    <row r="14" spans="1:15" ht="16.5" x14ac:dyDescent="0.45">
      <c r="A14" s="13" t="s">
        <v>10</v>
      </c>
      <c r="B14" s="17"/>
      <c r="C14" s="17">
        <v>6</v>
      </c>
      <c r="D14" s="11">
        <v>581</v>
      </c>
      <c r="E14" s="9">
        <v>76</v>
      </c>
      <c r="F14" s="10">
        <f t="shared" si="0"/>
        <v>13.080895008605854</v>
      </c>
      <c r="G14" s="11">
        <v>581</v>
      </c>
      <c r="H14" s="9">
        <v>91</v>
      </c>
      <c r="I14" s="12">
        <f t="shared" si="1"/>
        <v>15.66265060240964</v>
      </c>
      <c r="J14" s="9">
        <v>608</v>
      </c>
      <c r="K14" s="9">
        <v>74</v>
      </c>
      <c r="L14" s="10">
        <f t="shared" si="2"/>
        <v>12.171052631578947</v>
      </c>
      <c r="M14" s="9"/>
      <c r="N14" s="9">
        <v>875</v>
      </c>
      <c r="O14" s="7" t="e">
        <f t="shared" si="3"/>
        <v>#DIV/0!</v>
      </c>
    </row>
    <row r="15" spans="1:15" ht="16.5" x14ac:dyDescent="0.45">
      <c r="A15" s="13" t="s">
        <v>11</v>
      </c>
      <c r="B15" s="17"/>
      <c r="C15" s="17">
        <v>25</v>
      </c>
      <c r="D15" s="11">
        <v>166</v>
      </c>
      <c r="E15" s="9">
        <v>16</v>
      </c>
      <c r="F15" s="10">
        <f t="shared" si="0"/>
        <v>9.6385542168674707</v>
      </c>
      <c r="G15" s="11">
        <v>166</v>
      </c>
      <c r="H15" s="9">
        <v>33</v>
      </c>
      <c r="I15" s="12">
        <f t="shared" si="1"/>
        <v>19.879518072289155</v>
      </c>
      <c r="J15" s="9">
        <v>177</v>
      </c>
      <c r="K15" s="9">
        <v>44</v>
      </c>
      <c r="L15" s="10">
        <f t="shared" si="2"/>
        <v>24.858757062146893</v>
      </c>
      <c r="M15" s="9"/>
      <c r="N15" s="9">
        <v>211</v>
      </c>
      <c r="O15" s="7" t="e">
        <f t="shared" si="3"/>
        <v>#DIV/0!</v>
      </c>
    </row>
    <row r="16" spans="1:15" ht="16.5" x14ac:dyDescent="0.45">
      <c r="A16" s="13" t="s">
        <v>12</v>
      </c>
      <c r="B16" s="17"/>
      <c r="C16" s="17">
        <v>50</v>
      </c>
      <c r="D16" s="11">
        <v>952</v>
      </c>
      <c r="E16" s="9">
        <v>88</v>
      </c>
      <c r="F16" s="10">
        <f t="shared" si="0"/>
        <v>9.2436974789915975</v>
      </c>
      <c r="G16" s="11">
        <v>952</v>
      </c>
      <c r="H16" s="9">
        <v>89</v>
      </c>
      <c r="I16" s="12">
        <f t="shared" si="1"/>
        <v>9.3487394957983199</v>
      </c>
      <c r="J16" s="9">
        <v>851</v>
      </c>
      <c r="K16" s="9">
        <v>162</v>
      </c>
      <c r="L16" s="10">
        <f t="shared" si="2"/>
        <v>19.036427732079904</v>
      </c>
      <c r="M16" s="9"/>
      <c r="N16" s="9">
        <v>1938</v>
      </c>
      <c r="O16" s="7" t="e">
        <f t="shared" si="3"/>
        <v>#DIV/0!</v>
      </c>
    </row>
    <row r="17" spans="1:15" ht="29" x14ac:dyDescent="0.45">
      <c r="A17" s="13" t="s">
        <v>13</v>
      </c>
      <c r="B17" s="17"/>
      <c r="C17" s="17">
        <v>8</v>
      </c>
      <c r="D17" s="11">
        <v>403</v>
      </c>
      <c r="E17" s="9">
        <v>136</v>
      </c>
      <c r="F17" s="10">
        <f t="shared" si="0"/>
        <v>33.746898263027298</v>
      </c>
      <c r="G17" s="11">
        <v>403</v>
      </c>
      <c r="H17" s="9">
        <v>93</v>
      </c>
      <c r="I17" s="12">
        <f t="shared" si="1"/>
        <v>23.076923076923077</v>
      </c>
      <c r="J17" s="9">
        <v>254</v>
      </c>
      <c r="K17" s="9">
        <v>107</v>
      </c>
      <c r="L17" s="10">
        <f t="shared" si="2"/>
        <v>42.125984251968504</v>
      </c>
      <c r="M17" s="9"/>
      <c r="N17" s="9">
        <v>304</v>
      </c>
      <c r="O17" s="7" t="e">
        <f t="shared" si="3"/>
        <v>#DIV/0!</v>
      </c>
    </row>
    <row r="18" spans="1:15" ht="16.5" x14ac:dyDescent="0.45">
      <c r="A18" s="14" t="s">
        <v>14</v>
      </c>
      <c r="B18" s="17"/>
      <c r="C18" s="17">
        <v>1</v>
      </c>
      <c r="D18" s="11">
        <v>643</v>
      </c>
      <c r="E18" s="9">
        <v>152</v>
      </c>
      <c r="F18" s="10">
        <f t="shared" si="0"/>
        <v>23.639191290824261</v>
      </c>
      <c r="G18" s="11">
        <v>643</v>
      </c>
      <c r="H18" s="9">
        <v>99</v>
      </c>
      <c r="I18" s="12">
        <f t="shared" si="1"/>
        <v>15.396578538102643</v>
      </c>
      <c r="J18" s="9">
        <v>843</v>
      </c>
      <c r="K18" s="9">
        <v>118</v>
      </c>
      <c r="L18" s="10">
        <f t="shared" si="2"/>
        <v>13.997627520759192</v>
      </c>
      <c r="M18" s="9"/>
      <c r="N18" s="9">
        <v>487</v>
      </c>
      <c r="O18" s="7" t="e">
        <f t="shared" si="3"/>
        <v>#DIV/0!</v>
      </c>
    </row>
    <row r="19" spans="1:15" ht="43.5" x14ac:dyDescent="0.45">
      <c r="A19" s="14" t="s">
        <v>15</v>
      </c>
      <c r="B19" s="17"/>
      <c r="C19" s="17">
        <v>0</v>
      </c>
      <c r="D19" s="11">
        <v>236</v>
      </c>
      <c r="E19" s="9">
        <v>44</v>
      </c>
      <c r="F19" s="10">
        <f t="shared" si="0"/>
        <v>18.64406779661017</v>
      </c>
      <c r="G19" s="11">
        <v>236</v>
      </c>
      <c r="H19" s="9">
        <v>52</v>
      </c>
      <c r="I19" s="12">
        <f t="shared" si="1"/>
        <v>22.033898305084744</v>
      </c>
      <c r="J19" s="9">
        <v>231</v>
      </c>
      <c r="K19" s="9">
        <v>50</v>
      </c>
      <c r="L19" s="10">
        <f t="shared" si="2"/>
        <v>21.645021645021643</v>
      </c>
      <c r="M19" s="9"/>
      <c r="N19" s="9">
        <v>310</v>
      </c>
      <c r="O19" s="7" t="e">
        <f t="shared" si="3"/>
        <v>#DIV/0!</v>
      </c>
    </row>
    <row r="20" spans="1:15" ht="29" x14ac:dyDescent="0.45">
      <c r="A20" s="14" t="s">
        <v>16</v>
      </c>
      <c r="B20" s="17"/>
      <c r="C20" s="17">
        <v>134</v>
      </c>
      <c r="D20" s="11">
        <v>5736</v>
      </c>
      <c r="E20" s="9">
        <v>933</v>
      </c>
      <c r="F20" s="10">
        <f t="shared" si="0"/>
        <v>16.265690376569037</v>
      </c>
      <c r="G20" s="11">
        <v>5736</v>
      </c>
      <c r="H20" s="9">
        <v>699</v>
      </c>
      <c r="I20" s="12">
        <f t="shared" si="1"/>
        <v>12.186192468619247</v>
      </c>
      <c r="J20" s="9">
        <v>6878</v>
      </c>
      <c r="K20" s="9">
        <v>747</v>
      </c>
      <c r="L20" s="10">
        <f t="shared" si="2"/>
        <v>10.860715324222157</v>
      </c>
      <c r="M20" s="9"/>
      <c r="N20" s="9">
        <v>4064</v>
      </c>
      <c r="O20" s="7" t="e">
        <f t="shared" si="3"/>
        <v>#DIV/0!</v>
      </c>
    </row>
    <row r="21" spans="1:15" ht="16.5" x14ac:dyDescent="0.45">
      <c r="A21" s="14" t="s">
        <v>17</v>
      </c>
      <c r="B21" s="17"/>
      <c r="C21" s="17">
        <v>29</v>
      </c>
      <c r="D21" s="11">
        <v>2230</v>
      </c>
      <c r="E21" s="9">
        <v>468</v>
      </c>
      <c r="F21" s="10">
        <f t="shared" si="0"/>
        <v>20.986547085201792</v>
      </c>
      <c r="G21" s="11">
        <v>2230</v>
      </c>
      <c r="H21" s="9">
        <v>394</v>
      </c>
      <c r="I21" s="12">
        <f t="shared" si="1"/>
        <v>17.668161434977577</v>
      </c>
      <c r="J21" s="9">
        <v>2609</v>
      </c>
      <c r="K21" s="9">
        <v>507</v>
      </c>
      <c r="L21" s="10">
        <f t="shared" si="2"/>
        <v>19.432732847834419</v>
      </c>
      <c r="M21" s="9"/>
      <c r="N21" s="9">
        <v>4377</v>
      </c>
      <c r="O21" s="7" t="e">
        <f t="shared" si="3"/>
        <v>#DIV/0!</v>
      </c>
    </row>
    <row r="22" spans="1:15" ht="16.5" x14ac:dyDescent="0.45">
      <c r="A22" s="14" t="s">
        <v>18</v>
      </c>
      <c r="B22" s="17"/>
      <c r="C22" s="17">
        <v>0</v>
      </c>
      <c r="D22" s="11">
        <v>543</v>
      </c>
      <c r="E22" s="9">
        <v>107</v>
      </c>
      <c r="F22" s="10">
        <f t="shared" si="0"/>
        <v>19.705340699815839</v>
      </c>
      <c r="G22" s="11">
        <v>543</v>
      </c>
      <c r="H22" s="9">
        <v>106</v>
      </c>
      <c r="I22" s="12">
        <f t="shared" si="1"/>
        <v>19.521178637200737</v>
      </c>
      <c r="J22" s="9">
        <v>634</v>
      </c>
      <c r="K22" s="9">
        <v>158</v>
      </c>
      <c r="L22" s="10">
        <f t="shared" si="2"/>
        <v>24.921135646687699</v>
      </c>
      <c r="M22" s="9"/>
      <c r="N22" s="9">
        <v>863</v>
      </c>
      <c r="O22" s="7" t="e">
        <f t="shared" si="3"/>
        <v>#DIV/0!</v>
      </c>
    </row>
    <row r="23" spans="1:15" ht="16.5" x14ac:dyDescent="0.45">
      <c r="A23" s="14" t="s">
        <v>19</v>
      </c>
      <c r="B23" s="17"/>
      <c r="C23" s="17">
        <v>0</v>
      </c>
      <c r="D23" s="11">
        <v>284</v>
      </c>
      <c r="E23" s="9">
        <v>61</v>
      </c>
      <c r="F23" s="10">
        <f t="shared" si="0"/>
        <v>21.47887323943662</v>
      </c>
      <c r="G23" s="11">
        <v>284</v>
      </c>
      <c r="H23" s="9">
        <v>52</v>
      </c>
      <c r="I23" s="12">
        <f t="shared" si="1"/>
        <v>18.30985915492958</v>
      </c>
      <c r="J23" s="9">
        <v>376</v>
      </c>
      <c r="K23" s="9">
        <v>113</v>
      </c>
      <c r="L23" s="10">
        <f t="shared" si="2"/>
        <v>30.053191489361701</v>
      </c>
      <c r="M23" s="9"/>
      <c r="N23" s="9">
        <v>378</v>
      </c>
      <c r="O23" s="7" t="e">
        <f t="shared" si="3"/>
        <v>#DIV/0!</v>
      </c>
    </row>
    <row r="24" spans="1:15" ht="29" x14ac:dyDescent="0.45">
      <c r="A24" s="14" t="s">
        <v>20</v>
      </c>
      <c r="B24" s="17"/>
      <c r="C24" s="17">
        <v>2</v>
      </c>
      <c r="D24" s="11">
        <v>220</v>
      </c>
      <c r="E24" s="9">
        <v>40</v>
      </c>
      <c r="F24" s="10">
        <f t="shared" si="0"/>
        <v>18.181818181818183</v>
      </c>
      <c r="G24" s="11">
        <v>220</v>
      </c>
      <c r="H24" s="9">
        <v>64</v>
      </c>
      <c r="I24" s="12">
        <f t="shared" si="1"/>
        <v>29.09090909090909</v>
      </c>
      <c r="J24" s="9">
        <v>212</v>
      </c>
      <c r="K24" s="9">
        <v>130</v>
      </c>
      <c r="L24" s="10">
        <f t="shared" si="2"/>
        <v>61.320754716981128</v>
      </c>
      <c r="M24" s="9"/>
      <c r="N24" s="9">
        <v>154</v>
      </c>
      <c r="O24" s="7" t="e">
        <f t="shared" si="3"/>
        <v>#DIV/0!</v>
      </c>
    </row>
    <row r="25" spans="1:15" ht="29" x14ac:dyDescent="0.45">
      <c r="A25" s="14" t="s">
        <v>21</v>
      </c>
      <c r="B25" s="17"/>
      <c r="C25" s="17">
        <v>0</v>
      </c>
      <c r="D25" s="11">
        <v>228</v>
      </c>
      <c r="E25" s="9">
        <v>28</v>
      </c>
      <c r="F25" s="10">
        <f t="shared" si="0"/>
        <v>12.280701754385964</v>
      </c>
      <c r="G25" s="11">
        <v>228</v>
      </c>
      <c r="H25" s="9">
        <v>26</v>
      </c>
      <c r="I25" s="12">
        <f t="shared" si="1"/>
        <v>11.403508771929824</v>
      </c>
      <c r="J25" s="9">
        <v>219</v>
      </c>
      <c r="K25" s="9">
        <v>39</v>
      </c>
      <c r="L25" s="10">
        <f t="shared" si="2"/>
        <v>17.80821917808219</v>
      </c>
      <c r="M25" s="9"/>
      <c r="N25" s="9">
        <v>295</v>
      </c>
      <c r="O25" s="7" t="e">
        <f t="shared" si="3"/>
        <v>#DIV/0!</v>
      </c>
    </row>
    <row r="26" spans="1:15" ht="29" x14ac:dyDescent="0.45">
      <c r="A26" s="14" t="s">
        <v>22</v>
      </c>
      <c r="B26" s="17"/>
      <c r="C26" s="17">
        <v>0</v>
      </c>
      <c r="D26" s="11">
        <v>33</v>
      </c>
      <c r="E26" s="9">
        <v>20</v>
      </c>
      <c r="F26" s="10">
        <f t="shared" si="0"/>
        <v>60.606060606060609</v>
      </c>
      <c r="G26" s="11">
        <v>33</v>
      </c>
      <c r="H26" s="9">
        <v>7</v>
      </c>
      <c r="I26" s="12">
        <f t="shared" si="1"/>
        <v>21.212121212121211</v>
      </c>
      <c r="J26" s="9">
        <v>38</v>
      </c>
      <c r="K26" s="9">
        <v>2</v>
      </c>
      <c r="L26" s="10">
        <f t="shared" si="2"/>
        <v>5.2631578947368416</v>
      </c>
      <c r="M26" s="9"/>
      <c r="N26" s="9">
        <v>150</v>
      </c>
      <c r="O26" s="7" t="e">
        <f t="shared" si="3"/>
        <v>#DIV/0!</v>
      </c>
    </row>
    <row r="27" spans="1:15" ht="29" x14ac:dyDescent="0.45">
      <c r="A27" s="14" t="s">
        <v>23</v>
      </c>
      <c r="B27" s="17"/>
      <c r="C27" s="17">
        <v>0</v>
      </c>
      <c r="D27" s="11">
        <v>38</v>
      </c>
      <c r="E27" s="9">
        <v>6</v>
      </c>
      <c r="F27" s="10">
        <f t="shared" si="0"/>
        <v>15.789473684210526</v>
      </c>
      <c r="G27" s="11">
        <v>38</v>
      </c>
      <c r="H27" s="9">
        <v>3</v>
      </c>
      <c r="I27" s="12">
        <f t="shared" si="1"/>
        <v>7.8947368421052628</v>
      </c>
      <c r="J27" s="9">
        <v>41</v>
      </c>
      <c r="K27" s="9">
        <v>4</v>
      </c>
      <c r="L27" s="10">
        <f t="shared" si="2"/>
        <v>9.7560975609756095</v>
      </c>
      <c r="M27" s="9"/>
      <c r="N27" s="9">
        <v>70</v>
      </c>
      <c r="O27" s="7" t="e">
        <f t="shared" si="3"/>
        <v>#DIV/0!</v>
      </c>
    </row>
    <row r="28" spans="1:15" ht="16.5" x14ac:dyDescent="0.45">
      <c r="A28" s="14" t="s">
        <v>24</v>
      </c>
      <c r="B28" s="17"/>
      <c r="C28" s="17">
        <v>0</v>
      </c>
      <c r="D28" s="11">
        <v>130</v>
      </c>
      <c r="E28" s="9">
        <v>14</v>
      </c>
      <c r="F28" s="10">
        <f t="shared" si="0"/>
        <v>10.76923076923077</v>
      </c>
      <c r="G28" s="11">
        <v>130</v>
      </c>
      <c r="H28" s="9">
        <v>41</v>
      </c>
      <c r="I28" s="12">
        <f t="shared" si="1"/>
        <v>31.538461538461537</v>
      </c>
      <c r="J28" s="9">
        <v>140</v>
      </c>
      <c r="K28" s="9">
        <v>39</v>
      </c>
      <c r="L28" s="10">
        <f t="shared" si="2"/>
        <v>27.857142857142858</v>
      </c>
      <c r="M28" s="9"/>
      <c r="N28" s="9">
        <v>151</v>
      </c>
      <c r="O28" s="7" t="e">
        <f t="shared" si="3"/>
        <v>#DIV/0!</v>
      </c>
    </row>
    <row r="29" spans="1:15" ht="16.5" x14ac:dyDescent="0.45">
      <c r="A29" s="14" t="s">
        <v>25</v>
      </c>
      <c r="B29" s="17"/>
      <c r="C29" s="17">
        <v>0</v>
      </c>
      <c r="D29" s="11">
        <v>278</v>
      </c>
      <c r="E29" s="9">
        <v>68</v>
      </c>
      <c r="F29" s="10">
        <f t="shared" si="0"/>
        <v>24.46043165467626</v>
      </c>
      <c r="G29" s="11">
        <v>278</v>
      </c>
      <c r="H29" s="9">
        <v>74</v>
      </c>
      <c r="I29" s="12">
        <f t="shared" si="1"/>
        <v>26.618705035971225</v>
      </c>
      <c r="J29" s="9">
        <v>348</v>
      </c>
      <c r="K29" s="9">
        <v>127</v>
      </c>
      <c r="L29" s="10">
        <f t="shared" si="2"/>
        <v>36.494252873563219</v>
      </c>
      <c r="M29" s="9"/>
      <c r="N29" s="9">
        <v>85</v>
      </c>
      <c r="O29" s="7" t="e">
        <f t="shared" si="3"/>
        <v>#DIV/0!</v>
      </c>
    </row>
    <row r="30" spans="1:15" ht="16.5" x14ac:dyDescent="0.45">
      <c r="A30" s="15" t="s">
        <v>26</v>
      </c>
      <c r="B30" s="17"/>
      <c r="C30" s="17">
        <v>13</v>
      </c>
      <c r="D30" s="11">
        <v>499</v>
      </c>
      <c r="E30" s="9">
        <v>81</v>
      </c>
      <c r="F30" s="10">
        <f t="shared" si="0"/>
        <v>16.23246492985972</v>
      </c>
      <c r="G30" s="11">
        <v>499</v>
      </c>
      <c r="H30" s="9">
        <v>72</v>
      </c>
      <c r="I30" s="12">
        <f t="shared" si="1"/>
        <v>14.428857715430862</v>
      </c>
      <c r="J30" s="9">
        <v>560</v>
      </c>
      <c r="K30" s="9">
        <v>106</v>
      </c>
      <c r="L30" s="10">
        <f t="shared" si="2"/>
        <v>18.928571428571427</v>
      </c>
      <c r="M30" s="9"/>
      <c r="N30" s="9">
        <v>330</v>
      </c>
      <c r="O30" s="7" t="e">
        <f t="shared" si="3"/>
        <v>#DIV/0!</v>
      </c>
    </row>
    <row r="31" spans="1:15" ht="16.5" x14ac:dyDescent="0.45">
      <c r="A31" s="15" t="s">
        <v>27</v>
      </c>
      <c r="B31" s="17"/>
      <c r="C31" s="17">
        <v>0</v>
      </c>
      <c r="D31" s="11">
        <v>54</v>
      </c>
      <c r="E31" s="9">
        <v>7</v>
      </c>
      <c r="F31" s="10">
        <f t="shared" si="0"/>
        <v>12.962962962962962</v>
      </c>
      <c r="G31" s="11">
        <v>54</v>
      </c>
      <c r="H31" s="9">
        <v>20</v>
      </c>
      <c r="I31" s="12">
        <f t="shared" si="1"/>
        <v>37.037037037037038</v>
      </c>
      <c r="J31" s="9">
        <v>51</v>
      </c>
      <c r="K31" s="9">
        <v>26</v>
      </c>
      <c r="L31" s="10">
        <f t="shared" si="2"/>
        <v>50.980392156862742</v>
      </c>
      <c r="M31" s="9"/>
      <c r="N31" s="9">
        <v>11</v>
      </c>
      <c r="O31" s="7" t="e">
        <f t="shared" si="3"/>
        <v>#DIV/0!</v>
      </c>
    </row>
    <row r="32" spans="1:15" ht="16.5" x14ac:dyDescent="0.45">
      <c r="A32" s="15" t="s">
        <v>28</v>
      </c>
      <c r="B32" s="17"/>
      <c r="C32" s="17">
        <v>0</v>
      </c>
      <c r="D32" s="11">
        <v>137</v>
      </c>
      <c r="E32" s="9">
        <v>19</v>
      </c>
      <c r="F32" s="10">
        <f t="shared" si="0"/>
        <v>13.868613138686131</v>
      </c>
      <c r="G32" s="11">
        <v>137</v>
      </c>
      <c r="H32" s="9">
        <v>18</v>
      </c>
      <c r="I32" s="12">
        <f t="shared" si="1"/>
        <v>13.138686131386862</v>
      </c>
      <c r="J32" s="9">
        <v>184</v>
      </c>
      <c r="K32" s="9">
        <v>14</v>
      </c>
      <c r="L32" s="10">
        <f t="shared" si="2"/>
        <v>7.608695652173914</v>
      </c>
      <c r="M32" s="9"/>
      <c r="N32" s="9">
        <v>4</v>
      </c>
      <c r="O32" s="7" t="e">
        <f t="shared" si="3"/>
        <v>#DIV/0!</v>
      </c>
    </row>
    <row r="33" spans="1:15" ht="16.5" x14ac:dyDescent="0.45">
      <c r="A33" s="15" t="s">
        <v>29</v>
      </c>
      <c r="B33" s="17"/>
      <c r="C33" s="17">
        <v>7</v>
      </c>
      <c r="D33" s="11">
        <v>443</v>
      </c>
      <c r="E33" s="9">
        <v>199</v>
      </c>
      <c r="F33" s="10">
        <f t="shared" si="0"/>
        <v>44.920993227990969</v>
      </c>
      <c r="G33" s="11">
        <v>443</v>
      </c>
      <c r="H33" s="9">
        <v>223</v>
      </c>
      <c r="I33" s="12">
        <f t="shared" si="1"/>
        <v>50.338600451467265</v>
      </c>
      <c r="J33" s="9">
        <v>425</v>
      </c>
      <c r="K33" s="9">
        <v>195</v>
      </c>
      <c r="L33" s="10">
        <f t="shared" si="2"/>
        <v>45.882352941176471</v>
      </c>
      <c r="M33" s="9"/>
      <c r="N33" s="9">
        <v>881</v>
      </c>
      <c r="O33" s="7" t="e">
        <f t="shared" si="3"/>
        <v>#DIV/0!</v>
      </c>
    </row>
    <row r="34" spans="1:15" ht="16.5" x14ac:dyDescent="0.45">
      <c r="A34" s="15" t="s">
        <v>30</v>
      </c>
      <c r="B34" s="17"/>
      <c r="C34" s="17">
        <v>0</v>
      </c>
      <c r="D34" s="11">
        <v>99</v>
      </c>
      <c r="E34" s="9">
        <v>14</v>
      </c>
      <c r="F34" s="10">
        <f t="shared" si="0"/>
        <v>14.14141414141414</v>
      </c>
      <c r="G34" s="11">
        <v>99</v>
      </c>
      <c r="H34" s="9">
        <v>12</v>
      </c>
      <c r="I34" s="12">
        <f t="shared" si="1"/>
        <v>12.121212121212121</v>
      </c>
      <c r="J34" s="9">
        <v>95</v>
      </c>
      <c r="K34" s="9">
        <v>18</v>
      </c>
      <c r="L34" s="10">
        <f t="shared" si="2"/>
        <v>18.947368421052634</v>
      </c>
      <c r="M34" s="9"/>
      <c r="N34" s="9">
        <v>1</v>
      </c>
      <c r="O34" s="7" t="e">
        <f t="shared" si="3"/>
        <v>#DIV/0!</v>
      </c>
    </row>
    <row r="35" spans="1:15" ht="43.5" x14ac:dyDescent="0.45">
      <c r="A35" s="15" t="s">
        <v>31</v>
      </c>
      <c r="B35" s="17"/>
      <c r="C35" s="17">
        <v>22</v>
      </c>
      <c r="D35" s="11">
        <v>1467</v>
      </c>
      <c r="E35" s="9">
        <v>151</v>
      </c>
      <c r="F35" s="10">
        <f t="shared" si="0"/>
        <v>10.293115201090661</v>
      </c>
      <c r="G35" s="11">
        <v>1467</v>
      </c>
      <c r="H35" s="9">
        <v>222</v>
      </c>
      <c r="I35" s="12">
        <f t="shared" si="1"/>
        <v>15.132924335378323</v>
      </c>
      <c r="J35" s="9">
        <v>1144</v>
      </c>
      <c r="K35" s="9">
        <v>132</v>
      </c>
      <c r="L35" s="10">
        <f t="shared" si="2"/>
        <v>11.538461538461538</v>
      </c>
      <c r="M35" s="9"/>
      <c r="N35" s="9">
        <v>549</v>
      </c>
      <c r="O35" s="7" t="e">
        <f t="shared" si="3"/>
        <v>#DIV/0!</v>
      </c>
    </row>
    <row r="36" spans="1:15" ht="29" x14ac:dyDescent="0.45">
      <c r="A36" s="15" t="s">
        <v>32</v>
      </c>
      <c r="B36" s="17"/>
      <c r="C36" s="17">
        <v>5</v>
      </c>
      <c r="D36" s="11">
        <v>30</v>
      </c>
      <c r="E36" s="9">
        <v>28</v>
      </c>
      <c r="F36" s="10">
        <f t="shared" si="0"/>
        <v>93.333333333333329</v>
      </c>
      <c r="G36" s="11">
        <v>30</v>
      </c>
      <c r="H36" s="9">
        <v>29</v>
      </c>
      <c r="I36" s="12">
        <f t="shared" si="1"/>
        <v>96.666666666666671</v>
      </c>
      <c r="J36" s="9">
        <v>50</v>
      </c>
      <c r="K36" s="9">
        <v>40</v>
      </c>
      <c r="L36" s="10">
        <f t="shared" si="2"/>
        <v>80</v>
      </c>
      <c r="M36" s="9"/>
      <c r="N36" s="9">
        <v>23</v>
      </c>
      <c r="O36" s="7" t="e">
        <f t="shared" si="3"/>
        <v>#DIV/0!</v>
      </c>
    </row>
    <row r="37" spans="1:15" ht="16.5" x14ac:dyDescent="0.45">
      <c r="A37" s="15" t="s">
        <v>33</v>
      </c>
      <c r="B37" s="17"/>
      <c r="C37" s="17">
        <v>0</v>
      </c>
      <c r="D37" s="11">
        <v>112</v>
      </c>
      <c r="E37" s="9">
        <v>25</v>
      </c>
      <c r="F37" s="10">
        <f t="shared" si="0"/>
        <v>22.321428571428573</v>
      </c>
      <c r="G37" s="11">
        <v>112</v>
      </c>
      <c r="H37" s="9">
        <v>14</v>
      </c>
      <c r="I37" s="12">
        <f t="shared" si="1"/>
        <v>12.5</v>
      </c>
      <c r="J37" s="9">
        <v>133</v>
      </c>
      <c r="K37" s="9">
        <v>32</v>
      </c>
      <c r="L37" s="10">
        <f t="shared" si="2"/>
        <v>24.060150375939848</v>
      </c>
      <c r="M37" s="9"/>
      <c r="N37" s="9">
        <v>1</v>
      </c>
      <c r="O37" s="7" t="e">
        <f t="shared" si="3"/>
        <v>#DIV/0!</v>
      </c>
    </row>
    <row r="38" spans="1:15" ht="29" x14ac:dyDescent="0.45">
      <c r="A38" s="16" t="s">
        <v>34</v>
      </c>
      <c r="B38" s="17"/>
      <c r="C38" s="17">
        <v>0</v>
      </c>
      <c r="D38" s="11">
        <v>61</v>
      </c>
      <c r="E38" s="9">
        <v>7</v>
      </c>
      <c r="F38" s="10">
        <f t="shared" si="0"/>
        <v>11.475409836065573</v>
      </c>
      <c r="G38" s="11">
        <v>61</v>
      </c>
      <c r="H38" s="9">
        <v>13</v>
      </c>
      <c r="I38" s="12">
        <f t="shared" si="1"/>
        <v>21.311475409836063</v>
      </c>
      <c r="J38" s="9">
        <v>105</v>
      </c>
      <c r="K38" s="9">
        <v>11</v>
      </c>
      <c r="L38" s="10">
        <f t="shared" si="2"/>
        <v>10.476190476190476</v>
      </c>
      <c r="M38" s="9"/>
      <c r="N38" s="9">
        <v>46</v>
      </c>
      <c r="O38" s="7" t="e">
        <f t="shared" si="3"/>
        <v>#DIV/0!</v>
      </c>
    </row>
    <row r="39" spans="1:15" ht="16.5" x14ac:dyDescent="0.45">
      <c r="A39" s="16" t="s">
        <v>35</v>
      </c>
      <c r="B39" s="17"/>
      <c r="C39" s="17">
        <v>0</v>
      </c>
      <c r="D39" s="11">
        <v>117</v>
      </c>
      <c r="E39" s="9">
        <v>15</v>
      </c>
      <c r="F39" s="10">
        <f t="shared" si="0"/>
        <v>12.820512820512819</v>
      </c>
      <c r="G39" s="11">
        <v>117</v>
      </c>
      <c r="H39" s="9">
        <v>18</v>
      </c>
      <c r="I39" s="12">
        <f t="shared" si="1"/>
        <v>15.384615384615385</v>
      </c>
      <c r="J39" s="9">
        <v>64</v>
      </c>
      <c r="K39" s="9">
        <v>30</v>
      </c>
      <c r="L39" s="10">
        <f t="shared" si="2"/>
        <v>46.875</v>
      </c>
      <c r="M39" s="9"/>
      <c r="N39" s="9">
        <v>207</v>
      </c>
      <c r="O39" s="7" t="e">
        <f t="shared" si="3"/>
        <v>#DIV/0!</v>
      </c>
    </row>
    <row r="40" spans="1:15" ht="16.5" x14ac:dyDescent="0.45">
      <c r="A40" s="16" t="s">
        <v>36</v>
      </c>
      <c r="B40" s="17"/>
      <c r="C40" s="17">
        <v>0</v>
      </c>
      <c r="D40" s="11">
        <v>62</v>
      </c>
      <c r="E40" s="9">
        <v>5</v>
      </c>
      <c r="F40" s="10">
        <f t="shared" si="0"/>
        <v>8.064516129032258</v>
      </c>
      <c r="G40" s="11">
        <v>62</v>
      </c>
      <c r="H40" s="9">
        <v>11</v>
      </c>
      <c r="I40" s="12">
        <f t="shared" si="1"/>
        <v>17.741935483870968</v>
      </c>
      <c r="J40" s="9">
        <v>69</v>
      </c>
      <c r="K40" s="9">
        <v>14</v>
      </c>
      <c r="L40" s="10">
        <f t="shared" si="2"/>
        <v>20.289855072463769</v>
      </c>
      <c r="M40" s="9"/>
      <c r="N40" s="9">
        <v>74</v>
      </c>
      <c r="O40" s="7" t="e">
        <f t="shared" si="3"/>
        <v>#DIV/0!</v>
      </c>
    </row>
    <row r="41" spans="1:15" ht="16.5" x14ac:dyDescent="0.45">
      <c r="A41" s="16" t="s">
        <v>37</v>
      </c>
      <c r="B41" s="17"/>
      <c r="C41" s="17">
        <v>0</v>
      </c>
      <c r="D41" s="11">
        <v>62</v>
      </c>
      <c r="E41" s="9">
        <v>7</v>
      </c>
      <c r="F41" s="10">
        <f t="shared" si="0"/>
        <v>11.29032258064516</v>
      </c>
      <c r="G41" s="11">
        <v>62</v>
      </c>
      <c r="H41" s="9">
        <v>6</v>
      </c>
      <c r="I41" s="12">
        <f t="shared" si="1"/>
        <v>9.67741935483871</v>
      </c>
      <c r="J41" s="9">
        <v>75</v>
      </c>
      <c r="K41" s="9">
        <v>16</v>
      </c>
      <c r="L41" s="10">
        <f t="shared" si="2"/>
        <v>21.333333333333336</v>
      </c>
      <c r="M41" s="9"/>
      <c r="N41" s="9">
        <v>81</v>
      </c>
      <c r="O41" s="7" t="e">
        <f t="shared" si="3"/>
        <v>#DIV/0!</v>
      </c>
    </row>
    <row r="42" spans="1:15" ht="16.5" x14ac:dyDescent="0.45">
      <c r="A42" s="16" t="s">
        <v>38</v>
      </c>
      <c r="B42" s="17"/>
      <c r="C42" s="17">
        <v>8</v>
      </c>
      <c r="D42" s="11">
        <v>130</v>
      </c>
      <c r="E42" s="9">
        <v>19</v>
      </c>
      <c r="F42" s="10">
        <f t="shared" si="0"/>
        <v>14.615384615384617</v>
      </c>
      <c r="G42" s="11">
        <v>130</v>
      </c>
      <c r="H42" s="9">
        <v>15</v>
      </c>
      <c r="I42" s="12">
        <f t="shared" si="1"/>
        <v>11.538461538461538</v>
      </c>
      <c r="J42" s="9">
        <v>123</v>
      </c>
      <c r="K42" s="9">
        <v>43</v>
      </c>
      <c r="L42" s="10">
        <f t="shared" si="2"/>
        <v>34.959349593495936</v>
      </c>
      <c r="M42" s="9"/>
      <c r="N42" s="9">
        <v>162</v>
      </c>
      <c r="O42" s="7" t="e">
        <f t="shared" si="3"/>
        <v>#DIV/0!</v>
      </c>
    </row>
    <row r="43" spans="1:15" ht="16.5" x14ac:dyDescent="0.45">
      <c r="A43" s="16" t="s">
        <v>39</v>
      </c>
      <c r="B43" s="17"/>
      <c r="C43" s="17">
        <v>2</v>
      </c>
      <c r="D43" s="11">
        <v>259</v>
      </c>
      <c r="E43" s="9">
        <v>49</v>
      </c>
      <c r="F43" s="10">
        <f t="shared" si="0"/>
        <v>18.918918918918919</v>
      </c>
      <c r="G43" s="11">
        <v>259</v>
      </c>
      <c r="H43" s="9">
        <v>48</v>
      </c>
      <c r="I43" s="12">
        <f t="shared" si="1"/>
        <v>18.532818532818531</v>
      </c>
      <c r="J43" s="9">
        <v>208</v>
      </c>
      <c r="K43" s="9">
        <v>36</v>
      </c>
      <c r="L43" s="10">
        <f t="shared" si="2"/>
        <v>17.307692307692307</v>
      </c>
      <c r="M43" s="9"/>
      <c r="N43" s="9">
        <v>304</v>
      </c>
      <c r="O43" s="7" t="e">
        <f t="shared" si="3"/>
        <v>#DIV/0!</v>
      </c>
    </row>
    <row r="44" spans="1:15" ht="29" x14ac:dyDescent="0.45">
      <c r="A44" s="16" t="s">
        <v>40</v>
      </c>
      <c r="B44" s="17"/>
      <c r="C44" s="17">
        <v>0</v>
      </c>
      <c r="D44" s="11">
        <v>36</v>
      </c>
      <c r="E44" s="9">
        <v>2</v>
      </c>
      <c r="F44" s="10">
        <f t="shared" si="0"/>
        <v>5.5555555555555554</v>
      </c>
      <c r="G44" s="11">
        <v>36</v>
      </c>
      <c r="H44" s="9">
        <v>3</v>
      </c>
      <c r="I44" s="12">
        <f t="shared" si="1"/>
        <v>8.3333333333333321</v>
      </c>
      <c r="J44" s="9">
        <v>36</v>
      </c>
      <c r="K44" s="9">
        <v>9</v>
      </c>
      <c r="L44" s="10">
        <f t="shared" si="2"/>
        <v>25</v>
      </c>
      <c r="M44" s="9"/>
      <c r="N44" s="9">
        <v>0</v>
      </c>
      <c r="O44" s="7" t="e">
        <f t="shared" si="3"/>
        <v>#DIV/0!</v>
      </c>
    </row>
    <row r="45" spans="1:15" ht="29" x14ac:dyDescent="0.45">
      <c r="A45" s="16" t="s">
        <v>41</v>
      </c>
      <c r="B45" s="17"/>
      <c r="C45" s="17">
        <v>4</v>
      </c>
      <c r="D45" s="11">
        <v>129</v>
      </c>
      <c r="E45" s="9">
        <v>24</v>
      </c>
      <c r="F45" s="10">
        <f t="shared" si="0"/>
        <v>18.604651162790699</v>
      </c>
      <c r="G45" s="11">
        <v>129</v>
      </c>
      <c r="H45" s="9">
        <v>34</v>
      </c>
      <c r="I45" s="12">
        <f t="shared" si="1"/>
        <v>26.356589147286826</v>
      </c>
      <c r="J45" s="9">
        <v>153</v>
      </c>
      <c r="K45" s="9">
        <v>35</v>
      </c>
      <c r="L45" s="10">
        <f t="shared" si="2"/>
        <v>22.875816993464053</v>
      </c>
      <c r="M45" s="9"/>
      <c r="N45" s="9">
        <v>390</v>
      </c>
      <c r="O45" s="7" t="e">
        <f t="shared" si="3"/>
        <v>#DIV/0!</v>
      </c>
    </row>
    <row r="46" spans="1:15" x14ac:dyDescent="0.35">
      <c r="A46" s="40" t="s">
        <v>50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x14ac:dyDescent="0.35">
      <c r="A47" s="34" t="s">
        <v>51</v>
      </c>
      <c r="B47" s="34"/>
      <c r="C47" s="34"/>
      <c r="D47" s="34"/>
      <c r="E47" s="34"/>
    </row>
    <row r="48" spans="1:15" x14ac:dyDescent="0.35">
      <c r="A48" s="35" t="s">
        <v>52</v>
      </c>
      <c r="B48" s="35"/>
      <c r="C48" s="35"/>
      <c r="D48" s="35"/>
      <c r="E48" s="35"/>
    </row>
  </sheetData>
  <mergeCells count="8">
    <mergeCell ref="A46:L46"/>
    <mergeCell ref="A47:E47"/>
    <mergeCell ref="A48:E48"/>
    <mergeCell ref="A1:O1"/>
    <mergeCell ref="A2:O3"/>
    <mergeCell ref="A4:O4"/>
    <mergeCell ref="A5:L5"/>
    <mergeCell ref="M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8"/>
  <sheetViews>
    <sheetView workbookViewId="0">
      <selection activeCell="M36" sqref="M36"/>
    </sheetView>
  </sheetViews>
  <sheetFormatPr baseColWidth="10" defaultRowHeight="14.5" x14ac:dyDescent="0.35"/>
  <sheetData>
    <row r="1" spans="1:15" ht="23.5" x14ac:dyDescent="0.55000000000000004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4.25" customHeight="1" x14ac:dyDescent="0.35">
      <c r="A2" s="37" t="s">
        <v>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4.2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8.75" customHeight="1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ht="15" customHeight="1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2" t="s">
        <v>49</v>
      </c>
      <c r="N5" s="42"/>
      <c r="O5" s="42"/>
    </row>
    <row r="6" spans="1:15" ht="43.5" x14ac:dyDescent="0.35">
      <c r="A6" s="5" t="s">
        <v>2</v>
      </c>
      <c r="B6" s="5" t="s">
        <v>42</v>
      </c>
      <c r="C6" s="6" t="s">
        <v>54</v>
      </c>
      <c r="D6" s="5" t="s">
        <v>42</v>
      </c>
      <c r="E6" s="6" t="s">
        <v>45</v>
      </c>
      <c r="F6" s="6" t="s">
        <v>44</v>
      </c>
      <c r="G6" s="5" t="s">
        <v>42</v>
      </c>
      <c r="H6" s="6" t="s">
        <v>46</v>
      </c>
      <c r="I6" s="6" t="s">
        <v>44</v>
      </c>
      <c r="J6" s="5" t="s">
        <v>42</v>
      </c>
      <c r="K6" s="6" t="s">
        <v>43</v>
      </c>
      <c r="L6" s="5" t="s">
        <v>44</v>
      </c>
      <c r="M6" s="5" t="s">
        <v>42</v>
      </c>
      <c r="N6" s="6" t="s">
        <v>48</v>
      </c>
      <c r="O6" s="5" t="s">
        <v>44</v>
      </c>
    </row>
    <row r="7" spans="1:15" ht="16.5" x14ac:dyDescent="0.45">
      <c r="A7" s="13" t="s">
        <v>3</v>
      </c>
      <c r="B7" s="17"/>
      <c r="C7" s="18">
        <v>536</v>
      </c>
      <c r="D7" s="11">
        <v>8431</v>
      </c>
      <c r="E7" s="7">
        <v>1848</v>
      </c>
      <c r="F7" s="10">
        <f t="shared" ref="F7:F45" si="0">SUM(E7/D7*100)</f>
        <v>21.919108053611673</v>
      </c>
      <c r="G7" s="11">
        <v>8431</v>
      </c>
      <c r="H7" s="8">
        <v>1361</v>
      </c>
      <c r="I7" s="12">
        <f>SUM(H7/G7*100)</f>
        <v>16.142806310046257</v>
      </c>
      <c r="J7" s="8">
        <v>10719</v>
      </c>
      <c r="K7" s="8">
        <v>1732</v>
      </c>
      <c r="L7" s="10">
        <f>SUM(K7/J7*100)</f>
        <v>16.158223714898778</v>
      </c>
      <c r="M7" s="8"/>
      <c r="N7" s="8">
        <v>10534</v>
      </c>
      <c r="O7" s="7" t="e">
        <f>SUM(N7/M7*100)</f>
        <v>#DIV/0!</v>
      </c>
    </row>
    <row r="8" spans="1:15" ht="29" x14ac:dyDescent="0.45">
      <c r="A8" s="13" t="s">
        <v>4</v>
      </c>
      <c r="B8" s="17"/>
      <c r="C8" s="17">
        <v>21</v>
      </c>
      <c r="D8" s="11">
        <v>576</v>
      </c>
      <c r="E8" s="9">
        <v>158</v>
      </c>
      <c r="F8" s="10">
        <f t="shared" si="0"/>
        <v>27.430555555555557</v>
      </c>
      <c r="G8" s="11">
        <v>576</v>
      </c>
      <c r="H8" s="9">
        <v>147</v>
      </c>
      <c r="I8" s="12">
        <f t="shared" ref="I8:I45" si="1">SUM(H8/G8*100)</f>
        <v>25.520833333333332</v>
      </c>
      <c r="J8" s="9">
        <v>657</v>
      </c>
      <c r="K8" s="9">
        <v>174</v>
      </c>
      <c r="L8" s="10">
        <f t="shared" ref="L8:L45" si="2">SUM(K8/J8*100)</f>
        <v>26.484018264840181</v>
      </c>
      <c r="M8" s="9"/>
      <c r="N8" s="9">
        <v>477</v>
      </c>
      <c r="O8" s="7" t="e">
        <f t="shared" ref="O8:O45" si="3">SUM(N8/M8*100)</f>
        <v>#DIV/0!</v>
      </c>
    </row>
    <row r="9" spans="1:15" ht="16.5" x14ac:dyDescent="0.45">
      <c r="A9" s="13" t="s">
        <v>5</v>
      </c>
      <c r="B9" s="17"/>
      <c r="C9" s="17">
        <v>76</v>
      </c>
      <c r="D9" s="11">
        <v>1425</v>
      </c>
      <c r="E9" s="9">
        <v>262</v>
      </c>
      <c r="F9" s="10">
        <f t="shared" si="0"/>
        <v>18.385964912280702</v>
      </c>
      <c r="G9" s="11">
        <v>1425</v>
      </c>
      <c r="H9" s="9">
        <v>205</v>
      </c>
      <c r="I9" s="12">
        <f t="shared" si="1"/>
        <v>14.385964912280702</v>
      </c>
      <c r="J9" s="9">
        <v>1082</v>
      </c>
      <c r="K9" s="9">
        <v>235</v>
      </c>
      <c r="L9" s="10">
        <f t="shared" si="2"/>
        <v>21.719038817005547</v>
      </c>
      <c r="M9" s="9"/>
      <c r="N9" s="9">
        <v>1208</v>
      </c>
      <c r="O9" s="7" t="e">
        <f t="shared" si="3"/>
        <v>#DIV/0!</v>
      </c>
    </row>
    <row r="10" spans="1:15" ht="29" x14ac:dyDescent="0.45">
      <c r="A10" s="13" t="s">
        <v>6</v>
      </c>
      <c r="B10" s="17"/>
      <c r="C10" s="17">
        <v>6</v>
      </c>
      <c r="D10" s="11">
        <v>488</v>
      </c>
      <c r="E10" s="9">
        <v>46</v>
      </c>
      <c r="F10" s="10">
        <f t="shared" si="0"/>
        <v>9.4262295081967213</v>
      </c>
      <c r="G10" s="11">
        <v>488</v>
      </c>
      <c r="H10" s="9">
        <v>61</v>
      </c>
      <c r="I10" s="12">
        <f t="shared" si="1"/>
        <v>12.5</v>
      </c>
      <c r="J10" s="9">
        <v>514</v>
      </c>
      <c r="K10" s="9">
        <v>92</v>
      </c>
      <c r="L10" s="10">
        <f t="shared" si="2"/>
        <v>17.898832684824903</v>
      </c>
      <c r="M10" s="9"/>
      <c r="N10" s="9">
        <v>321</v>
      </c>
      <c r="O10" s="7" t="e">
        <f t="shared" si="3"/>
        <v>#DIV/0!</v>
      </c>
    </row>
    <row r="11" spans="1:15" ht="29" x14ac:dyDescent="0.45">
      <c r="A11" s="13" t="s">
        <v>7</v>
      </c>
      <c r="B11" s="17"/>
      <c r="C11" s="17">
        <v>23</v>
      </c>
      <c r="D11" s="11">
        <v>224</v>
      </c>
      <c r="E11" s="9">
        <v>27</v>
      </c>
      <c r="F11" s="10">
        <f t="shared" si="0"/>
        <v>12.053571428571429</v>
      </c>
      <c r="G11" s="11">
        <v>224</v>
      </c>
      <c r="H11" s="9">
        <v>58</v>
      </c>
      <c r="I11" s="12">
        <f t="shared" si="1"/>
        <v>25.892857142857146</v>
      </c>
      <c r="J11" s="9">
        <v>243</v>
      </c>
      <c r="K11" s="9">
        <v>111</v>
      </c>
      <c r="L11" s="10">
        <f t="shared" si="2"/>
        <v>45.679012345679013</v>
      </c>
      <c r="M11" s="9"/>
      <c r="N11" s="9">
        <v>151</v>
      </c>
      <c r="O11" s="7" t="e">
        <f t="shared" si="3"/>
        <v>#DIV/0!</v>
      </c>
    </row>
    <row r="12" spans="1:15" ht="16.5" x14ac:dyDescent="0.45">
      <c r="A12" s="13" t="s">
        <v>8</v>
      </c>
      <c r="B12" s="17"/>
      <c r="C12" s="17">
        <v>9</v>
      </c>
      <c r="D12" s="11">
        <v>135</v>
      </c>
      <c r="E12" s="9">
        <v>35</v>
      </c>
      <c r="F12" s="10">
        <f t="shared" si="0"/>
        <v>25.925925925925924</v>
      </c>
      <c r="G12" s="11">
        <v>135</v>
      </c>
      <c r="H12" s="9">
        <v>31</v>
      </c>
      <c r="I12" s="12">
        <f t="shared" si="1"/>
        <v>22.962962962962962</v>
      </c>
      <c r="J12" s="9">
        <v>190</v>
      </c>
      <c r="K12" s="9">
        <v>51</v>
      </c>
      <c r="L12" s="10">
        <f t="shared" si="2"/>
        <v>26.842105263157894</v>
      </c>
      <c r="M12" s="9"/>
      <c r="N12" s="9">
        <v>325</v>
      </c>
      <c r="O12" s="7" t="e">
        <f t="shared" si="3"/>
        <v>#DIV/0!</v>
      </c>
    </row>
    <row r="13" spans="1:15" ht="29" x14ac:dyDescent="0.45">
      <c r="A13" s="13" t="s">
        <v>9</v>
      </c>
      <c r="B13" s="17"/>
      <c r="C13" s="17">
        <v>61</v>
      </c>
      <c r="D13" s="11">
        <v>1283</v>
      </c>
      <c r="E13" s="9">
        <v>173</v>
      </c>
      <c r="F13" s="10">
        <f t="shared" si="0"/>
        <v>13.48402182385035</v>
      </c>
      <c r="G13" s="11">
        <v>1283</v>
      </c>
      <c r="H13" s="9">
        <v>151</v>
      </c>
      <c r="I13" s="12">
        <f t="shared" si="1"/>
        <v>11.769290724863602</v>
      </c>
      <c r="J13" s="9">
        <v>1399</v>
      </c>
      <c r="K13" s="9">
        <v>173</v>
      </c>
      <c r="L13" s="10">
        <f t="shared" si="2"/>
        <v>12.365975696926377</v>
      </c>
      <c r="M13" s="9"/>
      <c r="N13" s="9">
        <v>723</v>
      </c>
      <c r="O13" s="7" t="e">
        <f t="shared" si="3"/>
        <v>#DIV/0!</v>
      </c>
    </row>
    <row r="14" spans="1:15" ht="16.5" x14ac:dyDescent="0.45">
      <c r="A14" s="13" t="s">
        <v>10</v>
      </c>
      <c r="B14" s="17"/>
      <c r="C14" s="17">
        <v>6</v>
      </c>
      <c r="D14" s="11">
        <v>581</v>
      </c>
      <c r="E14" s="9">
        <v>76</v>
      </c>
      <c r="F14" s="10">
        <f t="shared" si="0"/>
        <v>13.080895008605854</v>
      </c>
      <c r="G14" s="11">
        <v>581</v>
      </c>
      <c r="H14" s="9">
        <v>93</v>
      </c>
      <c r="I14" s="12">
        <f t="shared" si="1"/>
        <v>16.006884681583479</v>
      </c>
      <c r="J14" s="9">
        <v>608</v>
      </c>
      <c r="K14" s="9">
        <v>74</v>
      </c>
      <c r="L14" s="10">
        <f t="shared" si="2"/>
        <v>12.171052631578947</v>
      </c>
      <c r="M14" s="9"/>
      <c r="N14" s="9">
        <v>875</v>
      </c>
      <c r="O14" s="7" t="e">
        <f t="shared" si="3"/>
        <v>#DIV/0!</v>
      </c>
    </row>
    <row r="15" spans="1:15" ht="16.5" x14ac:dyDescent="0.45">
      <c r="A15" s="13" t="s">
        <v>11</v>
      </c>
      <c r="B15" s="17"/>
      <c r="C15" s="17">
        <v>26</v>
      </c>
      <c r="D15" s="11">
        <v>166</v>
      </c>
      <c r="E15" s="9">
        <v>16</v>
      </c>
      <c r="F15" s="10">
        <f t="shared" si="0"/>
        <v>9.6385542168674707</v>
      </c>
      <c r="G15" s="11">
        <v>166</v>
      </c>
      <c r="H15" s="9">
        <v>34</v>
      </c>
      <c r="I15" s="12">
        <f t="shared" si="1"/>
        <v>20.481927710843372</v>
      </c>
      <c r="J15" s="9">
        <v>177</v>
      </c>
      <c r="K15" s="9">
        <v>44</v>
      </c>
      <c r="L15" s="10">
        <f t="shared" si="2"/>
        <v>24.858757062146893</v>
      </c>
      <c r="M15" s="9"/>
      <c r="N15" s="9">
        <v>221</v>
      </c>
      <c r="O15" s="7" t="e">
        <f t="shared" si="3"/>
        <v>#DIV/0!</v>
      </c>
    </row>
    <row r="16" spans="1:15" ht="16.5" x14ac:dyDescent="0.45">
      <c r="A16" s="13" t="s">
        <v>12</v>
      </c>
      <c r="B16" s="17"/>
      <c r="C16" s="17">
        <v>52</v>
      </c>
      <c r="D16" s="11">
        <v>952</v>
      </c>
      <c r="E16" s="9">
        <v>90</v>
      </c>
      <c r="F16" s="10">
        <f t="shared" si="0"/>
        <v>9.4537815126050422</v>
      </c>
      <c r="G16" s="11">
        <v>952</v>
      </c>
      <c r="H16" s="9">
        <v>91</v>
      </c>
      <c r="I16" s="12">
        <f t="shared" si="1"/>
        <v>9.5588235294117645</v>
      </c>
      <c r="J16" s="9">
        <v>851</v>
      </c>
      <c r="K16" s="9">
        <v>165</v>
      </c>
      <c r="L16" s="10">
        <f t="shared" si="2"/>
        <v>19.388954171562865</v>
      </c>
      <c r="M16" s="9"/>
      <c r="N16" s="9">
        <v>1938</v>
      </c>
      <c r="O16" s="7" t="e">
        <f t="shared" si="3"/>
        <v>#DIV/0!</v>
      </c>
    </row>
    <row r="17" spans="1:15" ht="29" x14ac:dyDescent="0.45">
      <c r="A17" s="13" t="s">
        <v>13</v>
      </c>
      <c r="B17" s="17"/>
      <c r="C17" s="17">
        <v>8</v>
      </c>
      <c r="D17" s="11">
        <v>403</v>
      </c>
      <c r="E17" s="9">
        <v>140</v>
      </c>
      <c r="F17" s="10">
        <f t="shared" si="0"/>
        <v>34.739454094292803</v>
      </c>
      <c r="G17" s="11">
        <v>403</v>
      </c>
      <c r="H17" s="9">
        <v>93</v>
      </c>
      <c r="I17" s="12">
        <f t="shared" si="1"/>
        <v>23.076923076923077</v>
      </c>
      <c r="J17" s="9">
        <v>254</v>
      </c>
      <c r="K17" s="9">
        <v>109</v>
      </c>
      <c r="L17" s="10">
        <f t="shared" si="2"/>
        <v>42.913385826771652</v>
      </c>
      <c r="M17" s="9"/>
      <c r="N17" s="9">
        <v>304</v>
      </c>
      <c r="O17" s="7" t="e">
        <f t="shared" si="3"/>
        <v>#DIV/0!</v>
      </c>
    </row>
    <row r="18" spans="1:15" ht="16.5" x14ac:dyDescent="0.45">
      <c r="A18" s="14" t="s">
        <v>14</v>
      </c>
      <c r="B18" s="17"/>
      <c r="C18" s="17">
        <v>1</v>
      </c>
      <c r="D18" s="11">
        <v>643</v>
      </c>
      <c r="E18" s="9">
        <v>152</v>
      </c>
      <c r="F18" s="10">
        <f t="shared" si="0"/>
        <v>23.639191290824261</v>
      </c>
      <c r="G18" s="11">
        <v>643</v>
      </c>
      <c r="H18" s="9">
        <v>103</v>
      </c>
      <c r="I18" s="12">
        <f t="shared" si="1"/>
        <v>16.018662519440124</v>
      </c>
      <c r="J18" s="9">
        <v>843</v>
      </c>
      <c r="K18" s="9">
        <v>121</v>
      </c>
      <c r="L18" s="10">
        <f t="shared" si="2"/>
        <v>14.353499406880191</v>
      </c>
      <c r="M18" s="9"/>
      <c r="N18" s="9">
        <v>567</v>
      </c>
      <c r="O18" s="7" t="e">
        <f t="shared" si="3"/>
        <v>#DIV/0!</v>
      </c>
    </row>
    <row r="19" spans="1:15" ht="43.5" x14ac:dyDescent="0.45">
      <c r="A19" s="14" t="s">
        <v>15</v>
      </c>
      <c r="B19" s="17"/>
      <c r="C19" s="17">
        <v>0</v>
      </c>
      <c r="D19" s="11">
        <v>236</v>
      </c>
      <c r="E19" s="9">
        <v>46</v>
      </c>
      <c r="F19" s="10">
        <f t="shared" si="0"/>
        <v>19.491525423728813</v>
      </c>
      <c r="G19" s="11">
        <v>236</v>
      </c>
      <c r="H19" s="9">
        <v>52</v>
      </c>
      <c r="I19" s="12">
        <f t="shared" si="1"/>
        <v>22.033898305084744</v>
      </c>
      <c r="J19" s="9">
        <v>231</v>
      </c>
      <c r="K19" s="9">
        <v>50</v>
      </c>
      <c r="L19" s="10">
        <f t="shared" si="2"/>
        <v>21.645021645021643</v>
      </c>
      <c r="M19" s="9"/>
      <c r="N19" s="9">
        <v>480</v>
      </c>
      <c r="O19" s="7" t="e">
        <f t="shared" si="3"/>
        <v>#DIV/0!</v>
      </c>
    </row>
    <row r="20" spans="1:15" ht="29" x14ac:dyDescent="0.45">
      <c r="A20" s="14" t="s">
        <v>16</v>
      </c>
      <c r="B20" s="17"/>
      <c r="C20" s="17">
        <v>139</v>
      </c>
      <c r="D20" s="11">
        <v>5736</v>
      </c>
      <c r="E20" s="9">
        <v>962</v>
      </c>
      <c r="F20" s="10">
        <f t="shared" si="0"/>
        <v>16.771269177126918</v>
      </c>
      <c r="G20" s="11">
        <v>5736</v>
      </c>
      <c r="H20" s="9">
        <v>745</v>
      </c>
      <c r="I20" s="12">
        <f t="shared" si="1"/>
        <v>12.988145048814506</v>
      </c>
      <c r="J20" s="9">
        <v>6878</v>
      </c>
      <c r="K20" s="9">
        <v>764</v>
      </c>
      <c r="L20" s="10">
        <f t="shared" si="2"/>
        <v>11.1078801977319</v>
      </c>
      <c r="M20" s="9"/>
      <c r="N20" s="9">
        <v>4501</v>
      </c>
      <c r="O20" s="7" t="e">
        <f t="shared" si="3"/>
        <v>#DIV/0!</v>
      </c>
    </row>
    <row r="21" spans="1:15" ht="16.5" x14ac:dyDescent="0.45">
      <c r="A21" s="14" t="s">
        <v>17</v>
      </c>
      <c r="B21" s="17"/>
      <c r="C21" s="17">
        <v>29</v>
      </c>
      <c r="D21" s="11">
        <v>2230</v>
      </c>
      <c r="E21" s="9">
        <v>498</v>
      </c>
      <c r="F21" s="10">
        <f t="shared" si="0"/>
        <v>22.331838565022423</v>
      </c>
      <c r="G21" s="11">
        <v>2230</v>
      </c>
      <c r="H21" s="9">
        <v>417</v>
      </c>
      <c r="I21" s="12">
        <f t="shared" si="1"/>
        <v>18.699551569506724</v>
      </c>
      <c r="J21" s="9">
        <v>2609</v>
      </c>
      <c r="K21" s="9">
        <v>542</v>
      </c>
      <c r="L21" s="10">
        <f t="shared" si="2"/>
        <v>20.77424300498275</v>
      </c>
      <c r="M21" s="9"/>
      <c r="N21" s="9">
        <v>4689</v>
      </c>
      <c r="O21" s="7" t="e">
        <f t="shared" si="3"/>
        <v>#DIV/0!</v>
      </c>
    </row>
    <row r="22" spans="1:15" ht="16.5" x14ac:dyDescent="0.45">
      <c r="A22" s="14" t="s">
        <v>18</v>
      </c>
      <c r="B22" s="17"/>
      <c r="C22" s="17">
        <v>0</v>
      </c>
      <c r="D22" s="11">
        <v>543</v>
      </c>
      <c r="E22" s="9">
        <v>107</v>
      </c>
      <c r="F22" s="10">
        <f t="shared" si="0"/>
        <v>19.705340699815839</v>
      </c>
      <c r="G22" s="11">
        <v>543</v>
      </c>
      <c r="H22" s="9">
        <v>106</v>
      </c>
      <c r="I22" s="12">
        <f t="shared" si="1"/>
        <v>19.521178637200737</v>
      </c>
      <c r="J22" s="9">
        <v>634</v>
      </c>
      <c r="K22" s="9">
        <v>158</v>
      </c>
      <c r="L22" s="10">
        <f t="shared" si="2"/>
        <v>24.921135646687699</v>
      </c>
      <c r="M22" s="9"/>
      <c r="N22" s="9">
        <v>863</v>
      </c>
      <c r="O22" s="7" t="e">
        <f t="shared" si="3"/>
        <v>#DIV/0!</v>
      </c>
    </row>
    <row r="23" spans="1:15" ht="16.5" x14ac:dyDescent="0.45">
      <c r="A23" s="14" t="s">
        <v>19</v>
      </c>
      <c r="B23" s="17"/>
      <c r="C23" s="17">
        <v>0</v>
      </c>
      <c r="D23" s="11">
        <v>284</v>
      </c>
      <c r="E23" s="9">
        <v>64</v>
      </c>
      <c r="F23" s="10">
        <f t="shared" si="0"/>
        <v>22.535211267605636</v>
      </c>
      <c r="G23" s="11">
        <v>284</v>
      </c>
      <c r="H23" s="9">
        <v>53</v>
      </c>
      <c r="I23" s="12">
        <f t="shared" si="1"/>
        <v>18.661971830985916</v>
      </c>
      <c r="J23" s="9">
        <v>376</v>
      </c>
      <c r="K23" s="9">
        <v>115</v>
      </c>
      <c r="L23" s="10">
        <f t="shared" si="2"/>
        <v>30.585106382978722</v>
      </c>
      <c r="M23" s="9"/>
      <c r="N23" s="9">
        <v>388</v>
      </c>
      <c r="O23" s="7" t="e">
        <f t="shared" si="3"/>
        <v>#DIV/0!</v>
      </c>
    </row>
    <row r="24" spans="1:15" ht="29" x14ac:dyDescent="0.45">
      <c r="A24" s="14" t="s">
        <v>20</v>
      </c>
      <c r="B24" s="17"/>
      <c r="C24" s="17">
        <v>2</v>
      </c>
      <c r="D24" s="11">
        <v>220</v>
      </c>
      <c r="E24" s="9">
        <v>42</v>
      </c>
      <c r="F24" s="10">
        <f t="shared" si="0"/>
        <v>19.090909090909093</v>
      </c>
      <c r="G24" s="11">
        <v>220</v>
      </c>
      <c r="H24" s="9">
        <v>68</v>
      </c>
      <c r="I24" s="12">
        <f t="shared" si="1"/>
        <v>30.909090909090907</v>
      </c>
      <c r="J24" s="9">
        <v>212</v>
      </c>
      <c r="K24" s="9">
        <v>132</v>
      </c>
      <c r="L24" s="10">
        <f t="shared" si="2"/>
        <v>62.264150943396224</v>
      </c>
      <c r="M24" s="9"/>
      <c r="N24" s="9">
        <v>158</v>
      </c>
      <c r="O24" s="7" t="e">
        <f t="shared" si="3"/>
        <v>#DIV/0!</v>
      </c>
    </row>
    <row r="25" spans="1:15" ht="29" x14ac:dyDescent="0.45">
      <c r="A25" s="14" t="s">
        <v>21</v>
      </c>
      <c r="B25" s="17"/>
      <c r="C25" s="17">
        <v>0</v>
      </c>
      <c r="D25" s="11">
        <v>228</v>
      </c>
      <c r="E25" s="9">
        <v>39</v>
      </c>
      <c r="F25" s="10">
        <f t="shared" si="0"/>
        <v>17.105263157894736</v>
      </c>
      <c r="G25" s="11">
        <v>228</v>
      </c>
      <c r="H25" s="9">
        <v>32</v>
      </c>
      <c r="I25" s="12">
        <f t="shared" si="1"/>
        <v>14.035087719298245</v>
      </c>
      <c r="J25" s="9">
        <v>219</v>
      </c>
      <c r="K25" s="9">
        <v>51</v>
      </c>
      <c r="L25" s="10">
        <f t="shared" si="2"/>
        <v>23.287671232876711</v>
      </c>
      <c r="M25" s="9"/>
      <c r="N25" s="9">
        <v>320</v>
      </c>
      <c r="O25" s="7" t="e">
        <f t="shared" si="3"/>
        <v>#DIV/0!</v>
      </c>
    </row>
    <row r="26" spans="1:15" ht="29" x14ac:dyDescent="0.45">
      <c r="A26" s="14" t="s">
        <v>22</v>
      </c>
      <c r="B26" s="17"/>
      <c r="C26" s="17">
        <v>0</v>
      </c>
      <c r="D26" s="11">
        <v>33</v>
      </c>
      <c r="E26" s="9">
        <v>20</v>
      </c>
      <c r="F26" s="10">
        <f t="shared" si="0"/>
        <v>60.606060606060609</v>
      </c>
      <c r="G26" s="11">
        <v>33</v>
      </c>
      <c r="H26" s="9">
        <v>7</v>
      </c>
      <c r="I26" s="12">
        <f t="shared" si="1"/>
        <v>21.212121212121211</v>
      </c>
      <c r="J26" s="9">
        <v>38</v>
      </c>
      <c r="K26" s="9">
        <v>2</v>
      </c>
      <c r="L26" s="10">
        <f t="shared" si="2"/>
        <v>5.2631578947368416</v>
      </c>
      <c r="M26" s="9"/>
      <c r="N26" s="9">
        <v>150</v>
      </c>
      <c r="O26" s="7" t="e">
        <f t="shared" si="3"/>
        <v>#DIV/0!</v>
      </c>
    </row>
    <row r="27" spans="1:15" ht="29" x14ac:dyDescent="0.45">
      <c r="A27" s="14" t="s">
        <v>23</v>
      </c>
      <c r="B27" s="17"/>
      <c r="C27" s="17">
        <v>0</v>
      </c>
      <c r="D27" s="11">
        <v>38</v>
      </c>
      <c r="E27" s="9">
        <v>6</v>
      </c>
      <c r="F27" s="10">
        <f t="shared" si="0"/>
        <v>15.789473684210526</v>
      </c>
      <c r="G27" s="11">
        <v>38</v>
      </c>
      <c r="H27" s="9">
        <v>3</v>
      </c>
      <c r="I27" s="12">
        <f t="shared" si="1"/>
        <v>7.8947368421052628</v>
      </c>
      <c r="J27" s="9">
        <v>41</v>
      </c>
      <c r="K27" s="9">
        <v>4</v>
      </c>
      <c r="L27" s="10">
        <f t="shared" si="2"/>
        <v>9.7560975609756095</v>
      </c>
      <c r="M27" s="9"/>
      <c r="N27" s="9">
        <v>70</v>
      </c>
      <c r="O27" s="7" t="e">
        <f t="shared" si="3"/>
        <v>#DIV/0!</v>
      </c>
    </row>
    <row r="28" spans="1:15" ht="16.5" x14ac:dyDescent="0.45">
      <c r="A28" s="14" t="s">
        <v>24</v>
      </c>
      <c r="B28" s="17"/>
      <c r="C28" s="17">
        <v>0</v>
      </c>
      <c r="D28" s="11">
        <v>130</v>
      </c>
      <c r="E28" s="9">
        <v>14</v>
      </c>
      <c r="F28" s="10">
        <f t="shared" si="0"/>
        <v>10.76923076923077</v>
      </c>
      <c r="G28" s="11">
        <v>130</v>
      </c>
      <c r="H28" s="9">
        <v>41</v>
      </c>
      <c r="I28" s="12">
        <f t="shared" si="1"/>
        <v>31.538461538461537</v>
      </c>
      <c r="J28" s="9">
        <v>140</v>
      </c>
      <c r="K28" s="9">
        <v>43</v>
      </c>
      <c r="L28" s="10">
        <f t="shared" si="2"/>
        <v>30.714285714285715</v>
      </c>
      <c r="M28" s="9"/>
      <c r="N28" s="9">
        <v>161</v>
      </c>
      <c r="O28" s="7" t="e">
        <f t="shared" si="3"/>
        <v>#DIV/0!</v>
      </c>
    </row>
    <row r="29" spans="1:15" ht="16.5" x14ac:dyDescent="0.45">
      <c r="A29" s="14" t="s">
        <v>25</v>
      </c>
      <c r="B29" s="17"/>
      <c r="C29" s="17">
        <v>0</v>
      </c>
      <c r="D29" s="11">
        <v>278</v>
      </c>
      <c r="E29" s="9">
        <v>84</v>
      </c>
      <c r="F29" s="10">
        <f t="shared" si="0"/>
        <v>30.215827338129497</v>
      </c>
      <c r="G29" s="11">
        <v>278</v>
      </c>
      <c r="H29" s="9">
        <v>86</v>
      </c>
      <c r="I29" s="12">
        <f t="shared" si="1"/>
        <v>30.935251798561154</v>
      </c>
      <c r="J29" s="9">
        <v>348</v>
      </c>
      <c r="K29" s="9">
        <v>144</v>
      </c>
      <c r="L29" s="10">
        <f t="shared" si="2"/>
        <v>41.379310344827587</v>
      </c>
      <c r="M29" s="9"/>
      <c r="N29" s="9">
        <v>135</v>
      </c>
      <c r="O29" s="7" t="e">
        <f t="shared" si="3"/>
        <v>#DIV/0!</v>
      </c>
    </row>
    <row r="30" spans="1:15" ht="16.5" x14ac:dyDescent="0.45">
      <c r="A30" s="15" t="s">
        <v>26</v>
      </c>
      <c r="B30" s="17"/>
      <c r="C30" s="17">
        <v>23</v>
      </c>
      <c r="D30" s="11">
        <v>499</v>
      </c>
      <c r="E30" s="9">
        <v>91</v>
      </c>
      <c r="F30" s="10">
        <f t="shared" si="0"/>
        <v>18.236472945891784</v>
      </c>
      <c r="G30" s="11">
        <v>499</v>
      </c>
      <c r="H30" s="9">
        <v>75</v>
      </c>
      <c r="I30" s="12">
        <f t="shared" si="1"/>
        <v>15.030060120240481</v>
      </c>
      <c r="J30" s="9">
        <v>560</v>
      </c>
      <c r="K30" s="9">
        <v>113</v>
      </c>
      <c r="L30" s="10">
        <f t="shared" si="2"/>
        <v>20.178571428571431</v>
      </c>
      <c r="M30" s="9"/>
      <c r="N30" s="9">
        <v>490</v>
      </c>
      <c r="O30" s="7" t="e">
        <f t="shared" si="3"/>
        <v>#DIV/0!</v>
      </c>
    </row>
    <row r="31" spans="1:15" ht="16.5" x14ac:dyDescent="0.45">
      <c r="A31" s="15" t="s">
        <v>27</v>
      </c>
      <c r="B31" s="17"/>
      <c r="C31" s="17">
        <v>0</v>
      </c>
      <c r="D31" s="11">
        <v>54</v>
      </c>
      <c r="E31" s="9">
        <v>10</v>
      </c>
      <c r="F31" s="10">
        <f t="shared" si="0"/>
        <v>18.518518518518519</v>
      </c>
      <c r="G31" s="11">
        <v>54</v>
      </c>
      <c r="H31" s="9">
        <v>21</v>
      </c>
      <c r="I31" s="12">
        <f t="shared" si="1"/>
        <v>38.888888888888893</v>
      </c>
      <c r="J31" s="9">
        <v>51</v>
      </c>
      <c r="K31" s="9">
        <v>27</v>
      </c>
      <c r="L31" s="10">
        <f t="shared" si="2"/>
        <v>52.941176470588239</v>
      </c>
      <c r="M31" s="9"/>
      <c r="N31" s="9">
        <v>31</v>
      </c>
      <c r="O31" s="7" t="e">
        <f t="shared" si="3"/>
        <v>#DIV/0!</v>
      </c>
    </row>
    <row r="32" spans="1:15" ht="16.5" x14ac:dyDescent="0.45">
      <c r="A32" s="15" t="s">
        <v>28</v>
      </c>
      <c r="B32" s="17"/>
      <c r="C32" s="17">
        <v>0</v>
      </c>
      <c r="D32" s="11">
        <v>137</v>
      </c>
      <c r="E32" s="9">
        <v>24</v>
      </c>
      <c r="F32" s="10">
        <f t="shared" si="0"/>
        <v>17.518248175182482</v>
      </c>
      <c r="G32" s="11">
        <v>137</v>
      </c>
      <c r="H32" s="9">
        <v>18</v>
      </c>
      <c r="I32" s="12">
        <f t="shared" si="1"/>
        <v>13.138686131386862</v>
      </c>
      <c r="J32" s="9">
        <v>184</v>
      </c>
      <c r="K32" s="9">
        <v>14</v>
      </c>
      <c r="L32" s="10">
        <f t="shared" si="2"/>
        <v>7.608695652173914</v>
      </c>
      <c r="M32" s="9"/>
      <c r="N32" s="9">
        <v>84</v>
      </c>
      <c r="O32" s="7" t="e">
        <f t="shared" si="3"/>
        <v>#DIV/0!</v>
      </c>
    </row>
    <row r="33" spans="1:15" ht="16.5" x14ac:dyDescent="0.45">
      <c r="A33" s="15" t="s">
        <v>29</v>
      </c>
      <c r="B33" s="17"/>
      <c r="C33" s="17">
        <v>7</v>
      </c>
      <c r="D33" s="11">
        <v>443</v>
      </c>
      <c r="E33" s="9">
        <v>210</v>
      </c>
      <c r="F33" s="10">
        <f t="shared" si="0"/>
        <v>47.404063205417607</v>
      </c>
      <c r="G33" s="11">
        <v>443</v>
      </c>
      <c r="H33" s="9">
        <v>232</v>
      </c>
      <c r="I33" s="12">
        <f t="shared" si="1"/>
        <v>52.370203160270876</v>
      </c>
      <c r="J33" s="9">
        <v>425</v>
      </c>
      <c r="K33" s="9">
        <v>198</v>
      </c>
      <c r="L33" s="10">
        <f t="shared" si="2"/>
        <v>46.588235294117645</v>
      </c>
      <c r="M33" s="9"/>
      <c r="N33" s="9">
        <v>971</v>
      </c>
      <c r="O33" s="7" t="e">
        <f t="shared" si="3"/>
        <v>#DIV/0!</v>
      </c>
    </row>
    <row r="34" spans="1:15" ht="16.5" x14ac:dyDescent="0.45">
      <c r="A34" s="15" t="s">
        <v>30</v>
      </c>
      <c r="B34" s="17"/>
      <c r="C34" s="17">
        <v>0</v>
      </c>
      <c r="D34" s="11">
        <v>99</v>
      </c>
      <c r="E34" s="9">
        <v>14</v>
      </c>
      <c r="F34" s="10">
        <f t="shared" si="0"/>
        <v>14.14141414141414</v>
      </c>
      <c r="G34" s="11">
        <v>99</v>
      </c>
      <c r="H34" s="9">
        <v>12</v>
      </c>
      <c r="I34" s="12">
        <f t="shared" si="1"/>
        <v>12.121212121212121</v>
      </c>
      <c r="J34" s="9">
        <v>95</v>
      </c>
      <c r="K34" s="9">
        <v>18</v>
      </c>
      <c r="L34" s="10">
        <f t="shared" si="2"/>
        <v>18.947368421052634</v>
      </c>
      <c r="M34" s="9"/>
      <c r="N34" s="9">
        <v>1</v>
      </c>
      <c r="O34" s="7" t="e">
        <f t="shared" si="3"/>
        <v>#DIV/0!</v>
      </c>
    </row>
    <row r="35" spans="1:15" ht="43.5" x14ac:dyDescent="0.45">
      <c r="A35" s="15" t="s">
        <v>31</v>
      </c>
      <c r="B35" s="17"/>
      <c r="C35" s="17">
        <v>40</v>
      </c>
      <c r="D35" s="11">
        <v>1467</v>
      </c>
      <c r="E35" s="9">
        <v>173</v>
      </c>
      <c r="F35" s="10">
        <f t="shared" si="0"/>
        <v>11.792774369461487</v>
      </c>
      <c r="G35" s="11">
        <v>1467</v>
      </c>
      <c r="H35" s="9">
        <v>246</v>
      </c>
      <c r="I35" s="12">
        <f t="shared" si="1"/>
        <v>16.768916155419223</v>
      </c>
      <c r="J35" s="9">
        <v>1144</v>
      </c>
      <c r="K35" s="9">
        <v>148</v>
      </c>
      <c r="L35" s="10">
        <f t="shared" si="2"/>
        <v>12.937062937062937</v>
      </c>
      <c r="M35" s="9"/>
      <c r="N35" s="9">
        <v>1139</v>
      </c>
      <c r="O35" s="7" t="e">
        <f t="shared" si="3"/>
        <v>#DIV/0!</v>
      </c>
    </row>
    <row r="36" spans="1:15" ht="29" x14ac:dyDescent="0.45">
      <c r="A36" s="15" t="s">
        <v>32</v>
      </c>
      <c r="B36" s="17"/>
      <c r="C36" s="17">
        <v>5</v>
      </c>
      <c r="D36" s="11">
        <v>30</v>
      </c>
      <c r="E36" s="9">
        <v>32</v>
      </c>
      <c r="F36" s="10">
        <f t="shared" si="0"/>
        <v>106.66666666666667</v>
      </c>
      <c r="G36" s="11">
        <v>30</v>
      </c>
      <c r="H36" s="9">
        <v>29</v>
      </c>
      <c r="I36" s="12">
        <f t="shared" si="1"/>
        <v>96.666666666666671</v>
      </c>
      <c r="J36" s="9">
        <v>50</v>
      </c>
      <c r="K36" s="9">
        <v>42</v>
      </c>
      <c r="L36" s="10">
        <f t="shared" si="2"/>
        <v>84</v>
      </c>
      <c r="M36" s="9"/>
      <c r="N36" s="9">
        <v>43</v>
      </c>
      <c r="O36" s="7" t="e">
        <f t="shared" si="3"/>
        <v>#DIV/0!</v>
      </c>
    </row>
    <row r="37" spans="1:15" ht="16.5" x14ac:dyDescent="0.45">
      <c r="A37" s="15" t="s">
        <v>33</v>
      </c>
      <c r="B37" s="17"/>
      <c r="C37" s="17">
        <v>0</v>
      </c>
      <c r="D37" s="11">
        <v>112</v>
      </c>
      <c r="E37" s="9">
        <v>26</v>
      </c>
      <c r="F37" s="10">
        <f t="shared" si="0"/>
        <v>23.214285714285715</v>
      </c>
      <c r="G37" s="11">
        <v>112</v>
      </c>
      <c r="H37" s="9">
        <v>14</v>
      </c>
      <c r="I37" s="12">
        <f t="shared" si="1"/>
        <v>12.5</v>
      </c>
      <c r="J37" s="9">
        <v>133</v>
      </c>
      <c r="K37" s="9">
        <v>33</v>
      </c>
      <c r="L37" s="10">
        <f t="shared" si="2"/>
        <v>24.81203007518797</v>
      </c>
      <c r="M37" s="9"/>
      <c r="N37" s="9">
        <v>1</v>
      </c>
      <c r="O37" s="7" t="e">
        <f t="shared" si="3"/>
        <v>#DIV/0!</v>
      </c>
    </row>
    <row r="38" spans="1:15" ht="29" x14ac:dyDescent="0.45">
      <c r="A38" s="16" t="s">
        <v>34</v>
      </c>
      <c r="B38" s="17"/>
      <c r="C38" s="17">
        <v>1</v>
      </c>
      <c r="D38" s="11">
        <v>61</v>
      </c>
      <c r="E38" s="9">
        <v>7</v>
      </c>
      <c r="F38" s="10">
        <f t="shared" si="0"/>
        <v>11.475409836065573</v>
      </c>
      <c r="G38" s="11">
        <v>61</v>
      </c>
      <c r="H38" s="9">
        <v>14</v>
      </c>
      <c r="I38" s="12">
        <f t="shared" si="1"/>
        <v>22.950819672131146</v>
      </c>
      <c r="J38" s="9">
        <v>105</v>
      </c>
      <c r="K38" s="9">
        <v>11</v>
      </c>
      <c r="L38" s="10">
        <f t="shared" si="2"/>
        <v>10.476190476190476</v>
      </c>
      <c r="M38" s="9"/>
      <c r="N38" s="9">
        <v>56</v>
      </c>
      <c r="O38" s="7" t="e">
        <f t="shared" si="3"/>
        <v>#DIV/0!</v>
      </c>
    </row>
    <row r="39" spans="1:15" ht="16.5" x14ac:dyDescent="0.45">
      <c r="A39" s="16" t="s">
        <v>35</v>
      </c>
      <c r="B39" s="17"/>
      <c r="C39" s="17">
        <v>2</v>
      </c>
      <c r="D39" s="11">
        <v>117</v>
      </c>
      <c r="E39" s="9">
        <v>19</v>
      </c>
      <c r="F39" s="10">
        <f t="shared" si="0"/>
        <v>16.239316239316238</v>
      </c>
      <c r="G39" s="11">
        <v>117</v>
      </c>
      <c r="H39" s="9">
        <v>22</v>
      </c>
      <c r="I39" s="12">
        <f t="shared" si="1"/>
        <v>18.803418803418804</v>
      </c>
      <c r="J39" s="9">
        <v>64</v>
      </c>
      <c r="K39" s="9">
        <v>34</v>
      </c>
      <c r="L39" s="10">
        <f t="shared" si="2"/>
        <v>53.125</v>
      </c>
      <c r="M39" s="9"/>
      <c r="N39" s="9">
        <v>273</v>
      </c>
      <c r="O39" s="7" t="e">
        <f t="shared" si="3"/>
        <v>#DIV/0!</v>
      </c>
    </row>
    <row r="40" spans="1:15" ht="16.5" x14ac:dyDescent="0.45">
      <c r="A40" s="16" t="s">
        <v>36</v>
      </c>
      <c r="B40" s="17"/>
      <c r="C40" s="17">
        <v>0</v>
      </c>
      <c r="D40" s="11">
        <v>62</v>
      </c>
      <c r="E40" s="9">
        <v>5</v>
      </c>
      <c r="F40" s="10">
        <f t="shared" si="0"/>
        <v>8.064516129032258</v>
      </c>
      <c r="G40" s="11">
        <v>62</v>
      </c>
      <c r="H40" s="9">
        <v>11</v>
      </c>
      <c r="I40" s="12">
        <f t="shared" si="1"/>
        <v>17.741935483870968</v>
      </c>
      <c r="J40" s="9">
        <v>69</v>
      </c>
      <c r="K40" s="9">
        <v>14</v>
      </c>
      <c r="L40" s="10">
        <f t="shared" si="2"/>
        <v>20.289855072463769</v>
      </c>
      <c r="M40" s="9"/>
      <c r="N40" s="9">
        <v>74</v>
      </c>
      <c r="O40" s="7" t="e">
        <f t="shared" si="3"/>
        <v>#DIV/0!</v>
      </c>
    </row>
    <row r="41" spans="1:15" ht="16.5" x14ac:dyDescent="0.45">
      <c r="A41" s="16" t="s">
        <v>37</v>
      </c>
      <c r="B41" s="17"/>
      <c r="C41" s="17">
        <v>0</v>
      </c>
      <c r="D41" s="11">
        <v>62</v>
      </c>
      <c r="E41" s="9">
        <v>7</v>
      </c>
      <c r="F41" s="10">
        <f t="shared" si="0"/>
        <v>11.29032258064516</v>
      </c>
      <c r="G41" s="11">
        <v>62</v>
      </c>
      <c r="H41" s="9">
        <v>6</v>
      </c>
      <c r="I41" s="12">
        <f t="shared" si="1"/>
        <v>9.67741935483871</v>
      </c>
      <c r="J41" s="9">
        <v>75</v>
      </c>
      <c r="K41" s="9">
        <v>16</v>
      </c>
      <c r="L41" s="10">
        <f t="shared" si="2"/>
        <v>21.333333333333336</v>
      </c>
      <c r="M41" s="9"/>
      <c r="N41" s="9">
        <v>81</v>
      </c>
      <c r="O41" s="7" t="e">
        <f t="shared" si="3"/>
        <v>#DIV/0!</v>
      </c>
    </row>
    <row r="42" spans="1:15" ht="16.5" x14ac:dyDescent="0.45">
      <c r="A42" s="16" t="s">
        <v>38</v>
      </c>
      <c r="B42" s="17"/>
      <c r="C42" s="17">
        <v>8</v>
      </c>
      <c r="D42" s="11">
        <v>130</v>
      </c>
      <c r="E42" s="9">
        <v>20</v>
      </c>
      <c r="F42" s="10">
        <f t="shared" si="0"/>
        <v>15.384615384615385</v>
      </c>
      <c r="G42" s="11">
        <v>130</v>
      </c>
      <c r="H42" s="9">
        <v>17</v>
      </c>
      <c r="I42" s="12">
        <f t="shared" si="1"/>
        <v>13.076923076923078</v>
      </c>
      <c r="J42" s="9">
        <v>123</v>
      </c>
      <c r="K42" s="9">
        <v>43</v>
      </c>
      <c r="L42" s="10">
        <f t="shared" si="2"/>
        <v>34.959349593495936</v>
      </c>
      <c r="M42" s="9"/>
      <c r="N42" s="9">
        <v>202</v>
      </c>
      <c r="O42" s="7" t="e">
        <f t="shared" si="3"/>
        <v>#DIV/0!</v>
      </c>
    </row>
    <row r="43" spans="1:15" ht="16.5" x14ac:dyDescent="0.45">
      <c r="A43" s="16" t="s">
        <v>39</v>
      </c>
      <c r="B43" s="17"/>
      <c r="C43" s="17">
        <v>3</v>
      </c>
      <c r="D43" s="11">
        <v>259</v>
      </c>
      <c r="E43" s="9">
        <v>53</v>
      </c>
      <c r="F43" s="10">
        <f t="shared" si="0"/>
        <v>20.463320463320464</v>
      </c>
      <c r="G43" s="11">
        <v>259</v>
      </c>
      <c r="H43" s="9">
        <v>55</v>
      </c>
      <c r="I43" s="12">
        <f t="shared" si="1"/>
        <v>21.235521235521233</v>
      </c>
      <c r="J43" s="9">
        <v>208</v>
      </c>
      <c r="K43" s="9">
        <v>38</v>
      </c>
      <c r="L43" s="10">
        <f t="shared" si="2"/>
        <v>18.269230769230766</v>
      </c>
      <c r="M43" s="9"/>
      <c r="N43" s="9">
        <v>304</v>
      </c>
      <c r="O43" s="7" t="e">
        <f t="shared" si="3"/>
        <v>#DIV/0!</v>
      </c>
    </row>
    <row r="44" spans="1:15" ht="29" x14ac:dyDescent="0.45">
      <c r="A44" s="16" t="s">
        <v>40</v>
      </c>
      <c r="B44" s="17"/>
      <c r="C44" s="17">
        <v>0</v>
      </c>
      <c r="D44" s="11">
        <v>36</v>
      </c>
      <c r="E44" s="9">
        <v>4</v>
      </c>
      <c r="F44" s="10">
        <f t="shared" si="0"/>
        <v>11.111111111111111</v>
      </c>
      <c r="G44" s="11">
        <v>36</v>
      </c>
      <c r="H44" s="9">
        <v>3</v>
      </c>
      <c r="I44" s="12">
        <f t="shared" si="1"/>
        <v>8.3333333333333321</v>
      </c>
      <c r="J44" s="9">
        <v>36</v>
      </c>
      <c r="K44" s="9">
        <v>11</v>
      </c>
      <c r="L44" s="10">
        <f t="shared" si="2"/>
        <v>30.555555555555557</v>
      </c>
      <c r="M44" s="9"/>
      <c r="N44" s="9">
        <v>0</v>
      </c>
      <c r="O44" s="7" t="e">
        <f t="shared" si="3"/>
        <v>#DIV/0!</v>
      </c>
    </row>
    <row r="45" spans="1:15" ht="29" x14ac:dyDescent="0.45">
      <c r="A45" s="16" t="s">
        <v>41</v>
      </c>
      <c r="B45" s="17"/>
      <c r="C45" s="17">
        <v>8</v>
      </c>
      <c r="D45" s="11">
        <v>129</v>
      </c>
      <c r="E45" s="9">
        <v>29</v>
      </c>
      <c r="F45" s="10">
        <f t="shared" si="0"/>
        <v>22.480620155038761</v>
      </c>
      <c r="G45" s="11">
        <v>129</v>
      </c>
      <c r="H45" s="9">
        <v>44</v>
      </c>
      <c r="I45" s="12">
        <f t="shared" si="1"/>
        <v>34.108527131782942</v>
      </c>
      <c r="J45" s="9">
        <v>153</v>
      </c>
      <c r="K45" s="9">
        <v>42</v>
      </c>
      <c r="L45" s="10">
        <f t="shared" si="2"/>
        <v>27.450980392156865</v>
      </c>
      <c r="M45" s="9"/>
      <c r="N45" s="9">
        <v>400</v>
      </c>
      <c r="O45" s="7" t="e">
        <f t="shared" si="3"/>
        <v>#DIV/0!</v>
      </c>
    </row>
    <row r="46" spans="1:15" x14ac:dyDescent="0.35">
      <c r="A46" s="40" t="s">
        <v>50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x14ac:dyDescent="0.35">
      <c r="A47" s="34" t="s">
        <v>51</v>
      </c>
      <c r="B47" s="34"/>
      <c r="C47" s="34"/>
      <c r="D47" s="34"/>
      <c r="E47" s="34"/>
    </row>
    <row r="48" spans="1:15" x14ac:dyDescent="0.35">
      <c r="A48" s="35" t="s">
        <v>52</v>
      </c>
      <c r="B48" s="35"/>
      <c r="C48" s="35"/>
      <c r="D48" s="35"/>
      <c r="E48" s="35"/>
    </row>
  </sheetData>
  <mergeCells count="8">
    <mergeCell ref="A46:L46"/>
    <mergeCell ref="A47:E47"/>
    <mergeCell ref="A48:E48"/>
    <mergeCell ref="A1:O1"/>
    <mergeCell ref="A2:O3"/>
    <mergeCell ref="A4:O4"/>
    <mergeCell ref="A5:L5"/>
    <mergeCell ref="M5:O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8"/>
  <sheetViews>
    <sheetView topLeftCell="B22" workbookViewId="0">
      <selection activeCell="M36" sqref="M36"/>
    </sheetView>
  </sheetViews>
  <sheetFormatPr baseColWidth="10" defaultRowHeight="14.5" x14ac:dyDescent="0.35"/>
  <sheetData>
    <row r="1" spans="1:15" ht="23.5" x14ac:dyDescent="0.55000000000000004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4.25" customHeight="1" x14ac:dyDescent="0.35">
      <c r="A2" s="37" t="s">
        <v>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4.2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8.75" customHeight="1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ht="15" customHeight="1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2" t="s">
        <v>49</v>
      </c>
      <c r="N5" s="42"/>
      <c r="O5" s="42"/>
    </row>
    <row r="6" spans="1:15" ht="43.5" x14ac:dyDescent="0.35">
      <c r="A6" s="5" t="s">
        <v>2</v>
      </c>
      <c r="B6" s="5" t="s">
        <v>42</v>
      </c>
      <c r="C6" s="6" t="s">
        <v>54</v>
      </c>
      <c r="D6" s="5" t="s">
        <v>42</v>
      </c>
      <c r="E6" s="6" t="s">
        <v>45</v>
      </c>
      <c r="F6" s="6" t="s">
        <v>44</v>
      </c>
      <c r="G6" s="5" t="s">
        <v>42</v>
      </c>
      <c r="H6" s="6" t="s">
        <v>46</v>
      </c>
      <c r="I6" s="6" t="s">
        <v>44</v>
      </c>
      <c r="J6" s="5" t="s">
        <v>42</v>
      </c>
      <c r="K6" s="6" t="s">
        <v>43</v>
      </c>
      <c r="L6" s="5" t="s">
        <v>44</v>
      </c>
      <c r="M6" s="5" t="s">
        <v>42</v>
      </c>
      <c r="N6" s="6" t="s">
        <v>48</v>
      </c>
      <c r="O6" s="5" t="s">
        <v>44</v>
      </c>
    </row>
    <row r="7" spans="1:15" ht="16.5" x14ac:dyDescent="0.45">
      <c r="A7" s="13" t="s">
        <v>3</v>
      </c>
      <c r="B7" s="17"/>
      <c r="C7" s="18">
        <v>581</v>
      </c>
      <c r="D7" s="11">
        <v>8431</v>
      </c>
      <c r="E7" s="7">
        <v>1970</v>
      </c>
      <c r="F7" s="10">
        <f t="shared" ref="F7:F45" si="0">SUM(E7/D7*100)</f>
        <v>23.366148736804647</v>
      </c>
      <c r="G7" s="11">
        <v>8431</v>
      </c>
      <c r="H7" s="8">
        <v>1449</v>
      </c>
      <c r="I7" s="12">
        <f>SUM(H7/G7*100)</f>
        <v>17.186573360218244</v>
      </c>
      <c r="J7" s="8">
        <v>10719</v>
      </c>
      <c r="K7" s="8">
        <v>1869</v>
      </c>
      <c r="L7" s="10">
        <f>SUM(K7/J7*100)</f>
        <v>17.436328015673102</v>
      </c>
      <c r="M7" s="8"/>
      <c r="N7" s="8">
        <v>10963</v>
      </c>
      <c r="O7" s="7" t="e">
        <f>SUM(N7/M7*100)</f>
        <v>#DIV/0!</v>
      </c>
    </row>
    <row r="8" spans="1:15" ht="29" x14ac:dyDescent="0.45">
      <c r="A8" s="13" t="s">
        <v>4</v>
      </c>
      <c r="B8" s="17"/>
      <c r="C8" s="17">
        <v>21</v>
      </c>
      <c r="D8" s="11">
        <v>576</v>
      </c>
      <c r="E8" s="9">
        <v>158</v>
      </c>
      <c r="F8" s="10">
        <f t="shared" si="0"/>
        <v>27.430555555555557</v>
      </c>
      <c r="G8" s="11">
        <v>576</v>
      </c>
      <c r="H8" s="9">
        <v>147</v>
      </c>
      <c r="I8" s="12">
        <f t="shared" ref="I8:I45" si="1">SUM(H8/G8*100)</f>
        <v>25.520833333333332</v>
      </c>
      <c r="J8" s="9">
        <v>657</v>
      </c>
      <c r="K8" s="9">
        <v>174</v>
      </c>
      <c r="L8" s="10">
        <f t="shared" ref="L8:L45" si="2">SUM(K8/J8*100)</f>
        <v>26.484018264840181</v>
      </c>
      <c r="M8" s="9"/>
      <c r="N8" s="9">
        <v>477</v>
      </c>
      <c r="O8" s="7" t="e">
        <f t="shared" ref="O8:O45" si="3">SUM(N8/M8*100)</f>
        <v>#DIV/0!</v>
      </c>
    </row>
    <row r="9" spans="1:15" ht="16.5" x14ac:dyDescent="0.45">
      <c r="A9" s="13" t="s">
        <v>5</v>
      </c>
      <c r="B9" s="17"/>
      <c r="C9" s="17">
        <v>76</v>
      </c>
      <c r="D9" s="11">
        <v>1425</v>
      </c>
      <c r="E9" s="9">
        <v>275</v>
      </c>
      <c r="F9" s="10">
        <f t="shared" si="0"/>
        <v>19.298245614035086</v>
      </c>
      <c r="G9" s="11">
        <v>1425</v>
      </c>
      <c r="H9" s="9">
        <v>210</v>
      </c>
      <c r="I9" s="12">
        <f t="shared" si="1"/>
        <v>14.736842105263156</v>
      </c>
      <c r="J9" s="9">
        <v>1082</v>
      </c>
      <c r="K9" s="9">
        <v>247</v>
      </c>
      <c r="L9" s="10">
        <f t="shared" si="2"/>
        <v>22.828096118299445</v>
      </c>
      <c r="M9" s="9"/>
      <c r="N9" s="9">
        <v>1368</v>
      </c>
      <c r="O9" s="7" t="e">
        <f t="shared" si="3"/>
        <v>#DIV/0!</v>
      </c>
    </row>
    <row r="10" spans="1:15" ht="29" x14ac:dyDescent="0.45">
      <c r="A10" s="13" t="s">
        <v>6</v>
      </c>
      <c r="B10" s="17"/>
      <c r="C10" s="17">
        <v>8</v>
      </c>
      <c r="D10" s="11">
        <v>488</v>
      </c>
      <c r="E10" s="9">
        <v>57</v>
      </c>
      <c r="F10" s="10">
        <f t="shared" si="0"/>
        <v>11.68032786885246</v>
      </c>
      <c r="G10" s="11">
        <v>488</v>
      </c>
      <c r="H10" s="9">
        <v>73</v>
      </c>
      <c r="I10" s="12">
        <f t="shared" si="1"/>
        <v>14.959016393442623</v>
      </c>
      <c r="J10" s="9">
        <v>514</v>
      </c>
      <c r="K10" s="9">
        <v>97</v>
      </c>
      <c r="L10" s="10">
        <f t="shared" si="2"/>
        <v>18.8715953307393</v>
      </c>
      <c r="M10" s="9"/>
      <c r="N10" s="9">
        <v>398</v>
      </c>
      <c r="O10" s="7" t="e">
        <f t="shared" si="3"/>
        <v>#DIV/0!</v>
      </c>
    </row>
    <row r="11" spans="1:15" ht="29" x14ac:dyDescent="0.45">
      <c r="A11" s="13" t="s">
        <v>7</v>
      </c>
      <c r="B11" s="17"/>
      <c r="C11" s="17">
        <v>23</v>
      </c>
      <c r="D11" s="11">
        <v>224</v>
      </c>
      <c r="E11" s="9">
        <v>28</v>
      </c>
      <c r="F11" s="10">
        <f t="shared" si="0"/>
        <v>12.5</v>
      </c>
      <c r="G11" s="11">
        <v>224</v>
      </c>
      <c r="H11" s="9">
        <v>58</v>
      </c>
      <c r="I11" s="12">
        <f t="shared" si="1"/>
        <v>25.892857142857146</v>
      </c>
      <c r="J11" s="9">
        <v>243</v>
      </c>
      <c r="K11" s="9">
        <v>111</v>
      </c>
      <c r="L11" s="10">
        <f t="shared" si="2"/>
        <v>45.679012345679013</v>
      </c>
      <c r="M11" s="9"/>
      <c r="N11" s="9">
        <v>151</v>
      </c>
      <c r="O11" s="7" t="e">
        <f t="shared" si="3"/>
        <v>#DIV/0!</v>
      </c>
    </row>
    <row r="12" spans="1:15" ht="16.5" x14ac:dyDescent="0.45">
      <c r="A12" s="13" t="s">
        <v>8</v>
      </c>
      <c r="B12" s="17"/>
      <c r="C12" s="17">
        <v>9</v>
      </c>
      <c r="D12" s="11">
        <v>135</v>
      </c>
      <c r="E12" s="9">
        <v>40</v>
      </c>
      <c r="F12" s="10">
        <f t="shared" si="0"/>
        <v>29.629629629629626</v>
      </c>
      <c r="G12" s="11">
        <v>135</v>
      </c>
      <c r="H12" s="9">
        <v>34</v>
      </c>
      <c r="I12" s="12">
        <f t="shared" si="1"/>
        <v>25.185185185185183</v>
      </c>
      <c r="J12" s="9">
        <v>190</v>
      </c>
      <c r="K12" s="9">
        <v>60</v>
      </c>
      <c r="L12" s="10">
        <f t="shared" si="2"/>
        <v>31.578947368421051</v>
      </c>
      <c r="M12" s="9"/>
      <c r="N12" s="9">
        <v>395</v>
      </c>
      <c r="O12" s="7" t="e">
        <f t="shared" si="3"/>
        <v>#DIV/0!</v>
      </c>
    </row>
    <row r="13" spans="1:15" ht="29" x14ac:dyDescent="0.45">
      <c r="A13" s="13" t="s">
        <v>9</v>
      </c>
      <c r="B13" s="17"/>
      <c r="C13" s="17">
        <v>61</v>
      </c>
      <c r="D13" s="11">
        <v>1283</v>
      </c>
      <c r="E13" s="9">
        <v>197</v>
      </c>
      <c r="F13" s="10">
        <f t="shared" si="0"/>
        <v>15.354637568199534</v>
      </c>
      <c r="G13" s="11">
        <v>1283</v>
      </c>
      <c r="H13" s="9">
        <v>161</v>
      </c>
      <c r="I13" s="12">
        <f t="shared" si="1"/>
        <v>12.548713951675762</v>
      </c>
      <c r="J13" s="9">
        <v>1399</v>
      </c>
      <c r="K13" s="9">
        <v>216</v>
      </c>
      <c r="L13" s="10">
        <f t="shared" si="2"/>
        <v>15.439599714081487</v>
      </c>
      <c r="M13" s="9"/>
      <c r="N13" s="9">
        <v>1023</v>
      </c>
      <c r="O13" s="7" t="e">
        <f t="shared" si="3"/>
        <v>#DIV/0!</v>
      </c>
    </row>
    <row r="14" spans="1:15" ht="16.5" x14ac:dyDescent="0.45">
      <c r="A14" s="13" t="s">
        <v>10</v>
      </c>
      <c r="B14" s="17"/>
      <c r="C14" s="17">
        <v>6</v>
      </c>
      <c r="D14" s="11">
        <v>581</v>
      </c>
      <c r="E14" s="9">
        <v>80</v>
      </c>
      <c r="F14" s="10">
        <f t="shared" si="0"/>
        <v>13.769363166953527</v>
      </c>
      <c r="G14" s="11">
        <v>581</v>
      </c>
      <c r="H14" s="9">
        <v>94</v>
      </c>
      <c r="I14" s="12">
        <f t="shared" si="1"/>
        <v>16.179001721170398</v>
      </c>
      <c r="J14" s="9">
        <v>608</v>
      </c>
      <c r="K14" s="9">
        <v>87</v>
      </c>
      <c r="L14" s="10">
        <f t="shared" si="2"/>
        <v>14.309210526315788</v>
      </c>
      <c r="M14" s="9"/>
      <c r="N14" s="9">
        <v>1020</v>
      </c>
      <c r="O14" s="7" t="e">
        <f t="shared" si="3"/>
        <v>#DIV/0!</v>
      </c>
    </row>
    <row r="15" spans="1:15" ht="16.5" x14ac:dyDescent="0.45">
      <c r="A15" s="13" t="s">
        <v>11</v>
      </c>
      <c r="B15" s="17"/>
      <c r="C15" s="17">
        <v>26</v>
      </c>
      <c r="D15" s="11">
        <v>166</v>
      </c>
      <c r="E15" s="9">
        <v>19</v>
      </c>
      <c r="F15" s="10">
        <f t="shared" si="0"/>
        <v>11.445783132530121</v>
      </c>
      <c r="G15" s="11">
        <v>166</v>
      </c>
      <c r="H15" s="9">
        <v>38</v>
      </c>
      <c r="I15" s="12">
        <f t="shared" si="1"/>
        <v>22.891566265060241</v>
      </c>
      <c r="J15" s="9">
        <v>177</v>
      </c>
      <c r="K15" s="9">
        <v>50</v>
      </c>
      <c r="L15" s="10">
        <f t="shared" si="2"/>
        <v>28.248587570621471</v>
      </c>
      <c r="M15" s="9"/>
      <c r="N15" s="9">
        <v>253</v>
      </c>
      <c r="O15" s="7" t="e">
        <f t="shared" si="3"/>
        <v>#DIV/0!</v>
      </c>
    </row>
    <row r="16" spans="1:15" ht="16.5" x14ac:dyDescent="0.45">
      <c r="A16" s="13" t="s">
        <v>12</v>
      </c>
      <c r="B16" s="17"/>
      <c r="C16" s="17">
        <v>52</v>
      </c>
      <c r="D16" s="11">
        <v>952</v>
      </c>
      <c r="E16" s="9">
        <v>90</v>
      </c>
      <c r="F16" s="10">
        <f t="shared" si="0"/>
        <v>9.4537815126050422</v>
      </c>
      <c r="G16" s="11">
        <v>952</v>
      </c>
      <c r="H16" s="9">
        <v>91</v>
      </c>
      <c r="I16" s="12">
        <f t="shared" si="1"/>
        <v>9.5588235294117645</v>
      </c>
      <c r="J16" s="9">
        <v>851</v>
      </c>
      <c r="K16" s="9">
        <v>165</v>
      </c>
      <c r="L16" s="10">
        <f t="shared" si="2"/>
        <v>19.388954171562865</v>
      </c>
      <c r="M16" s="9"/>
      <c r="N16" s="9">
        <v>1938</v>
      </c>
      <c r="O16" s="7" t="e">
        <f t="shared" si="3"/>
        <v>#DIV/0!</v>
      </c>
    </row>
    <row r="17" spans="1:15" ht="29" x14ac:dyDescent="0.45">
      <c r="A17" s="13" t="s">
        <v>13</v>
      </c>
      <c r="B17" s="17"/>
      <c r="C17" s="17">
        <v>9</v>
      </c>
      <c r="D17" s="11">
        <v>403</v>
      </c>
      <c r="E17" s="9">
        <v>140</v>
      </c>
      <c r="F17" s="10">
        <f t="shared" si="0"/>
        <v>34.739454094292803</v>
      </c>
      <c r="G17" s="11">
        <v>403</v>
      </c>
      <c r="H17" s="9">
        <v>96</v>
      </c>
      <c r="I17" s="12">
        <f t="shared" si="1"/>
        <v>23.821339950372209</v>
      </c>
      <c r="J17" s="9">
        <v>254</v>
      </c>
      <c r="K17" s="9">
        <v>113</v>
      </c>
      <c r="L17" s="10">
        <f t="shared" si="2"/>
        <v>44.488188976377948</v>
      </c>
      <c r="M17" s="9"/>
      <c r="N17" s="9">
        <v>414</v>
      </c>
      <c r="O17" s="7" t="e">
        <f t="shared" si="3"/>
        <v>#DIV/0!</v>
      </c>
    </row>
    <row r="18" spans="1:15" ht="16.5" x14ac:dyDescent="0.45">
      <c r="A18" s="14" t="s">
        <v>14</v>
      </c>
      <c r="B18" s="17"/>
      <c r="C18" s="17">
        <v>1</v>
      </c>
      <c r="D18" s="11">
        <v>643</v>
      </c>
      <c r="E18" s="9">
        <v>162</v>
      </c>
      <c r="F18" s="10">
        <f t="shared" si="0"/>
        <v>25.194401244167963</v>
      </c>
      <c r="G18" s="11">
        <v>643</v>
      </c>
      <c r="H18" s="9">
        <v>111</v>
      </c>
      <c r="I18" s="12">
        <f t="shared" si="1"/>
        <v>17.262830482115085</v>
      </c>
      <c r="J18" s="9">
        <v>843</v>
      </c>
      <c r="K18" s="9">
        <v>129</v>
      </c>
      <c r="L18" s="10">
        <f t="shared" si="2"/>
        <v>15.302491103202847</v>
      </c>
      <c r="M18" s="9"/>
      <c r="N18" s="9">
        <v>727</v>
      </c>
      <c r="O18" s="7" t="e">
        <f t="shared" si="3"/>
        <v>#DIV/0!</v>
      </c>
    </row>
    <row r="19" spans="1:15" ht="43.5" x14ac:dyDescent="0.45">
      <c r="A19" s="14" t="s">
        <v>15</v>
      </c>
      <c r="B19" s="17"/>
      <c r="C19" s="17">
        <v>0</v>
      </c>
      <c r="D19" s="11">
        <v>236</v>
      </c>
      <c r="E19" s="9">
        <v>58</v>
      </c>
      <c r="F19" s="10">
        <f t="shared" si="0"/>
        <v>24.576271186440678</v>
      </c>
      <c r="G19" s="11">
        <v>236</v>
      </c>
      <c r="H19" s="9">
        <v>61</v>
      </c>
      <c r="I19" s="12">
        <f t="shared" si="1"/>
        <v>25.847457627118644</v>
      </c>
      <c r="J19" s="9">
        <v>231</v>
      </c>
      <c r="K19" s="9">
        <v>73</v>
      </c>
      <c r="L19" s="10">
        <f t="shared" si="2"/>
        <v>31.601731601731604</v>
      </c>
      <c r="M19" s="9"/>
      <c r="N19" s="9">
        <v>560</v>
      </c>
      <c r="O19" s="7" t="e">
        <f t="shared" si="3"/>
        <v>#DIV/0!</v>
      </c>
    </row>
    <row r="20" spans="1:15" ht="29" x14ac:dyDescent="0.45">
      <c r="A20" s="14" t="s">
        <v>16</v>
      </c>
      <c r="B20" s="17"/>
      <c r="C20" s="17">
        <v>155</v>
      </c>
      <c r="D20" s="11">
        <v>5736</v>
      </c>
      <c r="E20" s="9">
        <v>979</v>
      </c>
      <c r="F20" s="10">
        <f t="shared" si="0"/>
        <v>17.067642956764296</v>
      </c>
      <c r="G20" s="11">
        <v>5736</v>
      </c>
      <c r="H20" s="9">
        <v>765</v>
      </c>
      <c r="I20" s="12">
        <f t="shared" si="1"/>
        <v>13.336820083682008</v>
      </c>
      <c r="J20" s="9">
        <v>6878</v>
      </c>
      <c r="K20" s="9">
        <v>785</v>
      </c>
      <c r="L20" s="10">
        <f t="shared" si="2"/>
        <v>11.413201512067461</v>
      </c>
      <c r="M20" s="9"/>
      <c r="N20" s="9">
        <v>4501</v>
      </c>
      <c r="O20" s="7" t="e">
        <f t="shared" si="3"/>
        <v>#DIV/0!</v>
      </c>
    </row>
    <row r="21" spans="1:15" ht="16.5" x14ac:dyDescent="0.45">
      <c r="A21" s="14" t="s">
        <v>17</v>
      </c>
      <c r="B21" s="17"/>
      <c r="C21" s="17">
        <v>34</v>
      </c>
      <c r="D21" s="11">
        <v>2230</v>
      </c>
      <c r="E21" s="9">
        <v>541</v>
      </c>
      <c r="F21" s="10">
        <f t="shared" si="0"/>
        <v>24.260089686098656</v>
      </c>
      <c r="G21" s="11">
        <v>2230</v>
      </c>
      <c r="H21" s="9">
        <v>445</v>
      </c>
      <c r="I21" s="12">
        <f t="shared" si="1"/>
        <v>19.955156950672645</v>
      </c>
      <c r="J21" s="9">
        <v>2609</v>
      </c>
      <c r="K21" s="9">
        <v>578</v>
      </c>
      <c r="L21" s="10">
        <f t="shared" si="2"/>
        <v>22.154082023763895</v>
      </c>
      <c r="M21" s="9"/>
      <c r="N21" s="9">
        <v>4717</v>
      </c>
      <c r="O21" s="7" t="e">
        <f t="shared" si="3"/>
        <v>#DIV/0!</v>
      </c>
    </row>
    <row r="22" spans="1:15" ht="16.5" x14ac:dyDescent="0.45">
      <c r="A22" s="14" t="s">
        <v>18</v>
      </c>
      <c r="B22" s="17"/>
      <c r="C22" s="17">
        <v>0</v>
      </c>
      <c r="D22" s="11">
        <v>543</v>
      </c>
      <c r="E22" s="9">
        <v>113</v>
      </c>
      <c r="F22" s="10">
        <f t="shared" si="0"/>
        <v>20.810313075506446</v>
      </c>
      <c r="G22" s="11">
        <v>543</v>
      </c>
      <c r="H22" s="9">
        <v>110</v>
      </c>
      <c r="I22" s="12">
        <f t="shared" si="1"/>
        <v>20.257826887661142</v>
      </c>
      <c r="J22" s="9">
        <v>634</v>
      </c>
      <c r="K22" s="9">
        <v>162</v>
      </c>
      <c r="L22" s="10">
        <f t="shared" si="2"/>
        <v>25.552050473186121</v>
      </c>
      <c r="M22" s="9"/>
      <c r="N22" s="9">
        <v>892</v>
      </c>
      <c r="O22" s="7" t="e">
        <f t="shared" si="3"/>
        <v>#DIV/0!</v>
      </c>
    </row>
    <row r="23" spans="1:15" ht="16.5" x14ac:dyDescent="0.45">
      <c r="A23" s="14" t="s">
        <v>19</v>
      </c>
      <c r="B23" s="17"/>
      <c r="C23" s="17">
        <v>0</v>
      </c>
      <c r="D23" s="11">
        <v>284</v>
      </c>
      <c r="E23" s="9">
        <v>74</v>
      </c>
      <c r="F23" s="10">
        <f t="shared" si="0"/>
        <v>26.056338028169012</v>
      </c>
      <c r="G23" s="11">
        <v>284</v>
      </c>
      <c r="H23" s="9">
        <v>65</v>
      </c>
      <c r="I23" s="12">
        <f t="shared" si="1"/>
        <v>22.887323943661972</v>
      </c>
      <c r="J23" s="9">
        <v>376</v>
      </c>
      <c r="K23" s="9">
        <v>126</v>
      </c>
      <c r="L23" s="10">
        <f t="shared" si="2"/>
        <v>33.51063829787234</v>
      </c>
      <c r="M23" s="9"/>
      <c r="N23" s="9">
        <v>675</v>
      </c>
      <c r="O23" s="7" t="e">
        <f t="shared" si="3"/>
        <v>#DIV/0!</v>
      </c>
    </row>
    <row r="24" spans="1:15" ht="29" x14ac:dyDescent="0.45">
      <c r="A24" s="14" t="s">
        <v>20</v>
      </c>
      <c r="B24" s="17"/>
      <c r="C24" s="17">
        <v>2</v>
      </c>
      <c r="D24" s="11">
        <v>220</v>
      </c>
      <c r="E24" s="9">
        <v>42</v>
      </c>
      <c r="F24" s="10">
        <f t="shared" si="0"/>
        <v>19.090909090909093</v>
      </c>
      <c r="G24" s="11">
        <v>220</v>
      </c>
      <c r="H24" s="9">
        <v>70</v>
      </c>
      <c r="I24" s="12">
        <f t="shared" si="1"/>
        <v>31.818181818181817</v>
      </c>
      <c r="J24" s="9">
        <v>212</v>
      </c>
      <c r="K24" s="9">
        <v>136</v>
      </c>
      <c r="L24" s="10">
        <f t="shared" si="2"/>
        <v>64.15094339622641</v>
      </c>
      <c r="M24" s="9"/>
      <c r="N24" s="9">
        <v>158</v>
      </c>
      <c r="O24" s="7" t="e">
        <f t="shared" si="3"/>
        <v>#DIV/0!</v>
      </c>
    </row>
    <row r="25" spans="1:15" ht="29" x14ac:dyDescent="0.45">
      <c r="A25" s="14" t="s">
        <v>21</v>
      </c>
      <c r="B25" s="17"/>
      <c r="C25" s="17">
        <v>0</v>
      </c>
      <c r="D25" s="11">
        <v>228</v>
      </c>
      <c r="E25" s="9">
        <v>39</v>
      </c>
      <c r="F25" s="10">
        <f t="shared" si="0"/>
        <v>17.105263157894736</v>
      </c>
      <c r="G25" s="11">
        <v>228</v>
      </c>
      <c r="H25" s="9">
        <v>32</v>
      </c>
      <c r="I25" s="12">
        <f t="shared" si="1"/>
        <v>14.035087719298245</v>
      </c>
      <c r="J25" s="9">
        <v>219</v>
      </c>
      <c r="K25" s="9">
        <v>51</v>
      </c>
      <c r="L25" s="10">
        <f t="shared" si="2"/>
        <v>23.287671232876711</v>
      </c>
      <c r="M25" s="9"/>
      <c r="N25" s="9">
        <v>320</v>
      </c>
      <c r="O25" s="7" t="e">
        <f t="shared" si="3"/>
        <v>#DIV/0!</v>
      </c>
    </row>
    <row r="26" spans="1:15" ht="29" x14ac:dyDescent="0.45">
      <c r="A26" s="14" t="s">
        <v>22</v>
      </c>
      <c r="B26" s="17"/>
      <c r="C26" s="17">
        <v>0</v>
      </c>
      <c r="D26" s="11">
        <v>33</v>
      </c>
      <c r="E26" s="9">
        <v>21</v>
      </c>
      <c r="F26" s="10">
        <f t="shared" si="0"/>
        <v>63.636363636363633</v>
      </c>
      <c r="G26" s="11">
        <v>33</v>
      </c>
      <c r="H26" s="9">
        <v>7</v>
      </c>
      <c r="I26" s="12">
        <f t="shared" si="1"/>
        <v>21.212121212121211</v>
      </c>
      <c r="J26" s="9">
        <v>38</v>
      </c>
      <c r="K26" s="9">
        <v>4</v>
      </c>
      <c r="L26" s="10">
        <f t="shared" si="2"/>
        <v>10.526315789473683</v>
      </c>
      <c r="M26" s="9"/>
      <c r="N26" s="9">
        <v>170</v>
      </c>
      <c r="O26" s="7" t="e">
        <f t="shared" si="3"/>
        <v>#DIV/0!</v>
      </c>
    </row>
    <row r="27" spans="1:15" ht="29" x14ac:dyDescent="0.45">
      <c r="A27" s="14" t="s">
        <v>23</v>
      </c>
      <c r="B27" s="17"/>
      <c r="C27" s="17">
        <v>0</v>
      </c>
      <c r="D27" s="11">
        <v>38</v>
      </c>
      <c r="E27" s="9">
        <v>9</v>
      </c>
      <c r="F27" s="10">
        <f t="shared" si="0"/>
        <v>23.684210526315788</v>
      </c>
      <c r="G27" s="11">
        <v>38</v>
      </c>
      <c r="H27" s="9">
        <v>5</v>
      </c>
      <c r="I27" s="12">
        <f t="shared" si="1"/>
        <v>13.157894736842104</v>
      </c>
      <c r="J27" s="9">
        <v>41</v>
      </c>
      <c r="K27" s="9">
        <v>8</v>
      </c>
      <c r="L27" s="10">
        <f t="shared" si="2"/>
        <v>19.512195121951219</v>
      </c>
      <c r="M27" s="9"/>
      <c r="N27" s="9">
        <v>120</v>
      </c>
      <c r="O27" s="7" t="e">
        <f t="shared" si="3"/>
        <v>#DIV/0!</v>
      </c>
    </row>
    <row r="28" spans="1:15" ht="16.5" x14ac:dyDescent="0.45">
      <c r="A28" s="14" t="s">
        <v>24</v>
      </c>
      <c r="B28" s="17"/>
      <c r="C28" s="17">
        <v>0</v>
      </c>
      <c r="D28" s="11">
        <v>130</v>
      </c>
      <c r="E28" s="9">
        <v>15</v>
      </c>
      <c r="F28" s="10">
        <f t="shared" si="0"/>
        <v>11.538461538461538</v>
      </c>
      <c r="G28" s="11">
        <v>130</v>
      </c>
      <c r="H28" s="9">
        <v>41</v>
      </c>
      <c r="I28" s="12">
        <f t="shared" si="1"/>
        <v>31.538461538461537</v>
      </c>
      <c r="J28" s="9">
        <v>140</v>
      </c>
      <c r="K28" s="9">
        <v>43</v>
      </c>
      <c r="L28" s="10">
        <f t="shared" si="2"/>
        <v>30.714285714285715</v>
      </c>
      <c r="M28" s="9"/>
      <c r="N28" s="9">
        <v>191</v>
      </c>
      <c r="O28" s="7" t="e">
        <f t="shared" si="3"/>
        <v>#DIV/0!</v>
      </c>
    </row>
    <row r="29" spans="1:15" ht="16.5" x14ac:dyDescent="0.45">
      <c r="A29" s="14" t="s">
        <v>25</v>
      </c>
      <c r="B29" s="17"/>
      <c r="C29" s="17">
        <v>0</v>
      </c>
      <c r="D29" s="11">
        <v>278</v>
      </c>
      <c r="E29" s="9">
        <v>84</v>
      </c>
      <c r="F29" s="10">
        <f t="shared" si="0"/>
        <v>30.215827338129497</v>
      </c>
      <c r="G29" s="11">
        <v>278</v>
      </c>
      <c r="H29" s="9">
        <v>86</v>
      </c>
      <c r="I29" s="12">
        <f t="shared" si="1"/>
        <v>30.935251798561154</v>
      </c>
      <c r="J29" s="9">
        <v>348</v>
      </c>
      <c r="K29" s="9">
        <v>144</v>
      </c>
      <c r="L29" s="10">
        <f t="shared" si="2"/>
        <v>41.379310344827587</v>
      </c>
      <c r="M29" s="9"/>
      <c r="N29" s="9">
        <v>135</v>
      </c>
      <c r="O29" s="7" t="e">
        <f t="shared" si="3"/>
        <v>#DIV/0!</v>
      </c>
    </row>
    <row r="30" spans="1:15" ht="16.5" x14ac:dyDescent="0.45">
      <c r="A30" s="15" t="s">
        <v>26</v>
      </c>
      <c r="B30" s="17"/>
      <c r="C30" s="17">
        <v>23</v>
      </c>
      <c r="D30" s="11">
        <v>499</v>
      </c>
      <c r="E30" s="9">
        <v>97</v>
      </c>
      <c r="F30" s="10">
        <f t="shared" si="0"/>
        <v>19.438877755511022</v>
      </c>
      <c r="G30" s="11">
        <v>499</v>
      </c>
      <c r="H30" s="9">
        <v>80</v>
      </c>
      <c r="I30" s="12">
        <f t="shared" si="1"/>
        <v>16.032064128256511</v>
      </c>
      <c r="J30" s="9">
        <v>560</v>
      </c>
      <c r="K30" s="9">
        <v>133</v>
      </c>
      <c r="L30" s="10">
        <f t="shared" si="2"/>
        <v>23.75</v>
      </c>
      <c r="M30" s="9"/>
      <c r="N30" s="9">
        <v>537</v>
      </c>
      <c r="O30" s="7" t="e">
        <f t="shared" si="3"/>
        <v>#DIV/0!</v>
      </c>
    </row>
    <row r="31" spans="1:15" ht="16.5" x14ac:dyDescent="0.45">
      <c r="A31" s="15" t="s">
        <v>27</v>
      </c>
      <c r="B31" s="17"/>
      <c r="C31" s="17">
        <v>0</v>
      </c>
      <c r="D31" s="11">
        <v>54</v>
      </c>
      <c r="E31" s="9">
        <v>10</v>
      </c>
      <c r="F31" s="10">
        <f t="shared" si="0"/>
        <v>18.518518518518519</v>
      </c>
      <c r="G31" s="11">
        <v>54</v>
      </c>
      <c r="H31" s="9">
        <v>21</v>
      </c>
      <c r="I31" s="12">
        <f t="shared" si="1"/>
        <v>38.888888888888893</v>
      </c>
      <c r="J31" s="9">
        <v>51</v>
      </c>
      <c r="K31" s="9">
        <v>27</v>
      </c>
      <c r="L31" s="10">
        <f t="shared" si="2"/>
        <v>52.941176470588239</v>
      </c>
      <c r="M31" s="9"/>
      <c r="N31" s="9">
        <v>31</v>
      </c>
      <c r="O31" s="7" t="e">
        <f t="shared" si="3"/>
        <v>#DIV/0!</v>
      </c>
    </row>
    <row r="32" spans="1:15" ht="16.5" x14ac:dyDescent="0.45">
      <c r="A32" s="15" t="s">
        <v>28</v>
      </c>
      <c r="B32" s="17"/>
      <c r="C32" s="17">
        <v>0</v>
      </c>
      <c r="D32" s="11">
        <v>137</v>
      </c>
      <c r="E32" s="9">
        <v>24</v>
      </c>
      <c r="F32" s="10">
        <f t="shared" si="0"/>
        <v>17.518248175182482</v>
      </c>
      <c r="G32" s="11">
        <v>137</v>
      </c>
      <c r="H32" s="9">
        <v>18</v>
      </c>
      <c r="I32" s="12">
        <f t="shared" si="1"/>
        <v>13.138686131386862</v>
      </c>
      <c r="J32" s="9">
        <v>184</v>
      </c>
      <c r="K32" s="9">
        <v>14</v>
      </c>
      <c r="L32" s="10">
        <f t="shared" si="2"/>
        <v>7.608695652173914</v>
      </c>
      <c r="M32" s="9"/>
      <c r="N32" s="9">
        <v>84</v>
      </c>
      <c r="O32" s="7" t="e">
        <f t="shared" si="3"/>
        <v>#DIV/0!</v>
      </c>
    </row>
    <row r="33" spans="1:15" ht="16.5" x14ac:dyDescent="0.45">
      <c r="A33" s="15" t="s">
        <v>29</v>
      </c>
      <c r="B33" s="17"/>
      <c r="C33" s="17">
        <v>7</v>
      </c>
      <c r="D33" s="11">
        <v>443</v>
      </c>
      <c r="E33" s="9">
        <v>215</v>
      </c>
      <c r="F33" s="10">
        <f t="shared" si="0"/>
        <v>48.532731376975171</v>
      </c>
      <c r="G33" s="11">
        <v>443</v>
      </c>
      <c r="H33" s="9">
        <v>233</v>
      </c>
      <c r="I33" s="12">
        <f t="shared" si="1"/>
        <v>52.595936794582386</v>
      </c>
      <c r="J33" s="9">
        <v>425</v>
      </c>
      <c r="K33" s="9">
        <v>200</v>
      </c>
      <c r="L33" s="10">
        <f t="shared" si="2"/>
        <v>47.058823529411761</v>
      </c>
      <c r="M33" s="9"/>
      <c r="N33" s="9">
        <v>971</v>
      </c>
      <c r="O33" s="7" t="e">
        <f t="shared" si="3"/>
        <v>#DIV/0!</v>
      </c>
    </row>
    <row r="34" spans="1:15" ht="16.5" x14ac:dyDescent="0.45">
      <c r="A34" s="15" t="s">
        <v>30</v>
      </c>
      <c r="B34" s="17"/>
      <c r="C34" s="17">
        <v>0</v>
      </c>
      <c r="D34" s="11">
        <v>99</v>
      </c>
      <c r="E34" s="9">
        <v>14</v>
      </c>
      <c r="F34" s="10">
        <f t="shared" si="0"/>
        <v>14.14141414141414</v>
      </c>
      <c r="G34" s="11">
        <v>99</v>
      </c>
      <c r="H34" s="9">
        <v>12</v>
      </c>
      <c r="I34" s="12">
        <f t="shared" si="1"/>
        <v>12.121212121212121</v>
      </c>
      <c r="J34" s="9">
        <v>95</v>
      </c>
      <c r="K34" s="9">
        <v>19</v>
      </c>
      <c r="L34" s="10">
        <f t="shared" si="2"/>
        <v>20</v>
      </c>
      <c r="M34" s="9"/>
      <c r="N34" s="9">
        <v>11</v>
      </c>
      <c r="O34" s="7" t="e">
        <f t="shared" si="3"/>
        <v>#DIV/0!</v>
      </c>
    </row>
    <row r="35" spans="1:15" ht="43.5" x14ac:dyDescent="0.45">
      <c r="A35" s="15" t="s">
        <v>31</v>
      </c>
      <c r="B35" s="17"/>
      <c r="C35" s="17">
        <v>40</v>
      </c>
      <c r="D35" s="11">
        <v>1467</v>
      </c>
      <c r="E35" s="9">
        <v>173</v>
      </c>
      <c r="F35" s="10">
        <f t="shared" si="0"/>
        <v>11.792774369461487</v>
      </c>
      <c r="G35" s="11">
        <v>1467</v>
      </c>
      <c r="H35" s="9">
        <v>251</v>
      </c>
      <c r="I35" s="12">
        <f t="shared" si="1"/>
        <v>17.109747784594408</v>
      </c>
      <c r="J35" s="9">
        <v>1144</v>
      </c>
      <c r="K35" s="9">
        <v>161</v>
      </c>
      <c r="L35" s="10">
        <f t="shared" si="2"/>
        <v>14.073426573426573</v>
      </c>
      <c r="M35" s="9"/>
      <c r="N35" s="9">
        <v>1162</v>
      </c>
      <c r="O35" s="7" t="e">
        <f t="shared" si="3"/>
        <v>#DIV/0!</v>
      </c>
    </row>
    <row r="36" spans="1:15" ht="29" x14ac:dyDescent="0.45">
      <c r="A36" s="15" t="s">
        <v>32</v>
      </c>
      <c r="B36" s="17"/>
      <c r="C36" s="17">
        <v>5</v>
      </c>
      <c r="D36" s="11">
        <v>30</v>
      </c>
      <c r="E36" s="9">
        <v>32</v>
      </c>
      <c r="F36" s="10">
        <f t="shared" si="0"/>
        <v>106.66666666666667</v>
      </c>
      <c r="G36" s="11">
        <v>30</v>
      </c>
      <c r="H36" s="9">
        <v>32</v>
      </c>
      <c r="I36" s="12">
        <f t="shared" si="1"/>
        <v>106.66666666666667</v>
      </c>
      <c r="J36" s="9">
        <v>50</v>
      </c>
      <c r="K36" s="9">
        <v>42</v>
      </c>
      <c r="L36" s="10">
        <f t="shared" si="2"/>
        <v>84</v>
      </c>
      <c r="M36" s="9"/>
      <c r="N36" s="9">
        <v>43</v>
      </c>
      <c r="O36" s="7" t="e">
        <f t="shared" si="3"/>
        <v>#DIV/0!</v>
      </c>
    </row>
    <row r="37" spans="1:15" ht="16.5" x14ac:dyDescent="0.45">
      <c r="A37" s="15" t="s">
        <v>33</v>
      </c>
      <c r="B37" s="17"/>
      <c r="C37" s="17">
        <v>1</v>
      </c>
      <c r="D37" s="11">
        <v>112</v>
      </c>
      <c r="E37" s="9">
        <v>26</v>
      </c>
      <c r="F37" s="10">
        <f t="shared" si="0"/>
        <v>23.214285714285715</v>
      </c>
      <c r="G37" s="11">
        <v>112</v>
      </c>
      <c r="H37" s="9">
        <v>16</v>
      </c>
      <c r="I37" s="12">
        <f t="shared" si="1"/>
        <v>14.285714285714285</v>
      </c>
      <c r="J37" s="9">
        <v>133</v>
      </c>
      <c r="K37" s="9">
        <v>39</v>
      </c>
      <c r="L37" s="10">
        <f t="shared" si="2"/>
        <v>29.323308270676691</v>
      </c>
      <c r="M37" s="9"/>
      <c r="N37" s="9">
        <v>11</v>
      </c>
      <c r="O37" s="7" t="e">
        <f t="shared" si="3"/>
        <v>#DIV/0!</v>
      </c>
    </row>
    <row r="38" spans="1:15" ht="29" x14ac:dyDescent="0.45">
      <c r="A38" s="16" t="s">
        <v>34</v>
      </c>
      <c r="B38" s="17"/>
      <c r="C38" s="17">
        <v>1</v>
      </c>
      <c r="D38" s="11">
        <v>61</v>
      </c>
      <c r="E38" s="9">
        <v>8</v>
      </c>
      <c r="F38" s="10">
        <f t="shared" si="0"/>
        <v>13.114754098360656</v>
      </c>
      <c r="G38" s="11">
        <v>61</v>
      </c>
      <c r="H38" s="9">
        <v>16</v>
      </c>
      <c r="I38" s="12">
        <f t="shared" si="1"/>
        <v>26.229508196721312</v>
      </c>
      <c r="J38" s="9">
        <v>105</v>
      </c>
      <c r="K38" s="9">
        <v>11</v>
      </c>
      <c r="L38" s="10">
        <f t="shared" si="2"/>
        <v>10.476190476190476</v>
      </c>
      <c r="M38" s="9"/>
      <c r="N38" s="9">
        <v>56</v>
      </c>
      <c r="O38" s="7" t="e">
        <f t="shared" si="3"/>
        <v>#DIV/0!</v>
      </c>
    </row>
    <row r="39" spans="1:15" ht="16.5" x14ac:dyDescent="0.45">
      <c r="A39" s="16" t="s">
        <v>35</v>
      </c>
      <c r="B39" s="17"/>
      <c r="C39" s="17">
        <v>2</v>
      </c>
      <c r="D39" s="11">
        <v>117</v>
      </c>
      <c r="E39" s="9">
        <v>21</v>
      </c>
      <c r="F39" s="10">
        <f t="shared" si="0"/>
        <v>17.948717948717949</v>
      </c>
      <c r="G39" s="11">
        <v>117</v>
      </c>
      <c r="H39" s="9">
        <v>22</v>
      </c>
      <c r="I39" s="12">
        <f t="shared" si="1"/>
        <v>18.803418803418804</v>
      </c>
      <c r="J39" s="9">
        <v>64</v>
      </c>
      <c r="K39" s="9">
        <v>37</v>
      </c>
      <c r="L39" s="10">
        <f t="shared" si="2"/>
        <v>57.8125</v>
      </c>
      <c r="M39" s="9"/>
      <c r="N39" s="9">
        <v>283</v>
      </c>
      <c r="O39" s="7" t="e">
        <f t="shared" si="3"/>
        <v>#DIV/0!</v>
      </c>
    </row>
    <row r="40" spans="1:15" ht="16.5" x14ac:dyDescent="0.45">
      <c r="A40" s="16" t="s">
        <v>36</v>
      </c>
      <c r="B40" s="17"/>
      <c r="C40" s="17">
        <v>0</v>
      </c>
      <c r="D40" s="11">
        <v>62</v>
      </c>
      <c r="E40" s="9">
        <v>5</v>
      </c>
      <c r="F40" s="10">
        <f t="shared" si="0"/>
        <v>8.064516129032258</v>
      </c>
      <c r="G40" s="11">
        <v>62</v>
      </c>
      <c r="H40" s="9">
        <v>12</v>
      </c>
      <c r="I40" s="12">
        <f t="shared" si="1"/>
        <v>19.35483870967742</v>
      </c>
      <c r="J40" s="9">
        <v>69</v>
      </c>
      <c r="K40" s="9">
        <v>16</v>
      </c>
      <c r="L40" s="10">
        <f t="shared" si="2"/>
        <v>23.188405797101449</v>
      </c>
      <c r="M40" s="9"/>
      <c r="N40" s="9">
        <v>82</v>
      </c>
      <c r="O40" s="7" t="e">
        <f t="shared" si="3"/>
        <v>#DIV/0!</v>
      </c>
    </row>
    <row r="41" spans="1:15" ht="16.5" x14ac:dyDescent="0.45">
      <c r="A41" s="16" t="s">
        <v>37</v>
      </c>
      <c r="B41" s="17"/>
      <c r="C41" s="17">
        <v>0</v>
      </c>
      <c r="D41" s="11">
        <v>62</v>
      </c>
      <c r="E41" s="9">
        <v>9</v>
      </c>
      <c r="F41" s="10">
        <f t="shared" si="0"/>
        <v>14.516129032258066</v>
      </c>
      <c r="G41" s="11">
        <v>62</v>
      </c>
      <c r="H41" s="9">
        <v>8</v>
      </c>
      <c r="I41" s="12">
        <f t="shared" si="1"/>
        <v>12.903225806451612</v>
      </c>
      <c r="J41" s="9">
        <v>75</v>
      </c>
      <c r="K41" s="9">
        <v>16</v>
      </c>
      <c r="L41" s="10">
        <f t="shared" si="2"/>
        <v>21.333333333333336</v>
      </c>
      <c r="M41" s="9"/>
      <c r="N41" s="9">
        <v>101</v>
      </c>
      <c r="O41" s="7" t="e">
        <f t="shared" si="3"/>
        <v>#DIV/0!</v>
      </c>
    </row>
    <row r="42" spans="1:15" ht="16.5" x14ac:dyDescent="0.45">
      <c r="A42" s="16" t="s">
        <v>38</v>
      </c>
      <c r="B42" s="17"/>
      <c r="C42" s="17">
        <v>9</v>
      </c>
      <c r="D42" s="11">
        <v>130</v>
      </c>
      <c r="E42" s="9">
        <v>22</v>
      </c>
      <c r="F42" s="10">
        <f t="shared" si="0"/>
        <v>16.923076923076923</v>
      </c>
      <c r="G42" s="11">
        <v>130</v>
      </c>
      <c r="H42" s="9">
        <v>18</v>
      </c>
      <c r="I42" s="12">
        <f t="shared" si="1"/>
        <v>13.846153846153847</v>
      </c>
      <c r="J42" s="9">
        <v>123</v>
      </c>
      <c r="K42" s="9">
        <v>48</v>
      </c>
      <c r="L42" s="10">
        <f t="shared" si="2"/>
        <v>39.024390243902438</v>
      </c>
      <c r="M42" s="9"/>
      <c r="N42" s="9">
        <v>272</v>
      </c>
      <c r="O42" s="7" t="e">
        <f t="shared" si="3"/>
        <v>#DIV/0!</v>
      </c>
    </row>
    <row r="43" spans="1:15" ht="16.5" x14ac:dyDescent="0.45">
      <c r="A43" s="16" t="s">
        <v>39</v>
      </c>
      <c r="B43" s="17"/>
      <c r="C43" s="17">
        <v>3</v>
      </c>
      <c r="D43" s="11">
        <v>259</v>
      </c>
      <c r="E43" s="9">
        <v>54</v>
      </c>
      <c r="F43" s="10">
        <f t="shared" si="0"/>
        <v>20.849420849420849</v>
      </c>
      <c r="G43" s="11">
        <v>259</v>
      </c>
      <c r="H43" s="9">
        <v>57</v>
      </c>
      <c r="I43" s="12">
        <f t="shared" si="1"/>
        <v>22.007722007722009</v>
      </c>
      <c r="J43" s="9">
        <v>208</v>
      </c>
      <c r="K43" s="9">
        <v>38</v>
      </c>
      <c r="L43" s="10">
        <f t="shared" si="2"/>
        <v>18.269230769230766</v>
      </c>
      <c r="M43" s="9"/>
      <c r="N43" s="9">
        <v>304</v>
      </c>
      <c r="O43" s="7" t="e">
        <f t="shared" si="3"/>
        <v>#DIV/0!</v>
      </c>
    </row>
    <row r="44" spans="1:15" ht="29" x14ac:dyDescent="0.45">
      <c r="A44" s="16" t="s">
        <v>40</v>
      </c>
      <c r="B44" s="17"/>
      <c r="C44" s="17">
        <v>0</v>
      </c>
      <c r="D44" s="11">
        <v>36</v>
      </c>
      <c r="E44" s="9">
        <v>4</v>
      </c>
      <c r="F44" s="10">
        <f t="shared" si="0"/>
        <v>11.111111111111111</v>
      </c>
      <c r="G44" s="11">
        <v>36</v>
      </c>
      <c r="H44" s="9">
        <v>3</v>
      </c>
      <c r="I44" s="12">
        <f t="shared" si="1"/>
        <v>8.3333333333333321</v>
      </c>
      <c r="J44" s="9">
        <v>36</v>
      </c>
      <c r="K44" s="9">
        <v>11</v>
      </c>
      <c r="L44" s="10">
        <f t="shared" si="2"/>
        <v>30.555555555555557</v>
      </c>
      <c r="M44" s="9"/>
      <c r="N44" s="9">
        <v>0</v>
      </c>
      <c r="O44" s="7" t="e">
        <f t="shared" si="3"/>
        <v>#DIV/0!</v>
      </c>
    </row>
    <row r="45" spans="1:15" ht="29" x14ac:dyDescent="0.45">
      <c r="A45" s="16" t="s">
        <v>41</v>
      </c>
      <c r="B45" s="17"/>
      <c r="C45" s="17">
        <v>8</v>
      </c>
      <c r="D45" s="11">
        <v>129</v>
      </c>
      <c r="E45" s="9">
        <v>38</v>
      </c>
      <c r="F45" s="10">
        <f t="shared" si="0"/>
        <v>29.457364341085274</v>
      </c>
      <c r="G45" s="11">
        <v>129</v>
      </c>
      <c r="H45" s="9">
        <v>47</v>
      </c>
      <c r="I45" s="12">
        <f t="shared" si="1"/>
        <v>36.434108527131784</v>
      </c>
      <c r="J45" s="9">
        <v>153</v>
      </c>
      <c r="K45" s="9">
        <v>48</v>
      </c>
      <c r="L45" s="10">
        <f t="shared" si="2"/>
        <v>31.372549019607842</v>
      </c>
      <c r="M45" s="9"/>
      <c r="N45" s="9">
        <v>400</v>
      </c>
      <c r="O45" s="7" t="e">
        <f t="shared" si="3"/>
        <v>#DIV/0!</v>
      </c>
    </row>
    <row r="46" spans="1:15" x14ac:dyDescent="0.35">
      <c r="A46" s="40" t="s">
        <v>50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x14ac:dyDescent="0.35">
      <c r="A47" s="34" t="s">
        <v>51</v>
      </c>
      <c r="B47" s="34"/>
      <c r="C47" s="34"/>
      <c r="D47" s="34"/>
      <c r="E47" s="34"/>
    </row>
    <row r="48" spans="1:15" x14ac:dyDescent="0.35">
      <c r="A48" s="35" t="s">
        <v>52</v>
      </c>
      <c r="B48" s="35"/>
      <c r="C48" s="35"/>
      <c r="D48" s="35"/>
      <c r="E48" s="35"/>
    </row>
  </sheetData>
  <mergeCells count="8">
    <mergeCell ref="A46:L46"/>
    <mergeCell ref="A47:E47"/>
    <mergeCell ref="A48:E48"/>
    <mergeCell ref="A1:O1"/>
    <mergeCell ref="A2:O3"/>
    <mergeCell ref="A4:O4"/>
    <mergeCell ref="A5:L5"/>
    <mergeCell ref="M5:O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8"/>
  <sheetViews>
    <sheetView workbookViewId="0">
      <selection activeCell="M36" sqref="M36"/>
    </sheetView>
  </sheetViews>
  <sheetFormatPr baseColWidth="10" defaultRowHeight="14.5" x14ac:dyDescent="0.35"/>
  <sheetData>
    <row r="1" spans="1:15" ht="23.5" x14ac:dyDescent="0.55000000000000004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4.25" customHeight="1" x14ac:dyDescent="0.35">
      <c r="A2" s="37" t="s">
        <v>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4.2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8.75" customHeight="1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ht="15" customHeight="1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2" t="s">
        <v>49</v>
      </c>
      <c r="N5" s="42"/>
      <c r="O5" s="42"/>
    </row>
    <row r="6" spans="1:15" ht="43.5" x14ac:dyDescent="0.35">
      <c r="A6" s="5" t="s">
        <v>2</v>
      </c>
      <c r="B6" s="5" t="s">
        <v>42</v>
      </c>
      <c r="C6" s="6" t="s">
        <v>54</v>
      </c>
      <c r="D6" s="5" t="s">
        <v>42</v>
      </c>
      <c r="E6" s="6" t="s">
        <v>45</v>
      </c>
      <c r="F6" s="6" t="s">
        <v>44</v>
      </c>
      <c r="G6" s="5" t="s">
        <v>42</v>
      </c>
      <c r="H6" s="6" t="s">
        <v>46</v>
      </c>
      <c r="I6" s="6" t="s">
        <v>44</v>
      </c>
      <c r="J6" s="5" t="s">
        <v>42</v>
      </c>
      <c r="K6" s="6" t="s">
        <v>43</v>
      </c>
      <c r="L6" s="5" t="s">
        <v>44</v>
      </c>
      <c r="M6" s="5" t="s">
        <v>42</v>
      </c>
      <c r="N6" s="6" t="s">
        <v>48</v>
      </c>
      <c r="O6" s="5" t="s">
        <v>44</v>
      </c>
    </row>
    <row r="7" spans="1:15" ht="16.5" x14ac:dyDescent="0.45">
      <c r="A7" s="13" t="s">
        <v>3</v>
      </c>
      <c r="B7" s="17"/>
      <c r="C7" s="18">
        <v>677</v>
      </c>
      <c r="D7" s="11">
        <v>8431</v>
      </c>
      <c r="E7" s="7">
        <v>2126</v>
      </c>
      <c r="F7" s="10">
        <f t="shared" ref="F7:F45" si="0">SUM(E7/D7*100)</f>
        <v>25.216463053018622</v>
      </c>
      <c r="G7" s="11">
        <v>8431</v>
      </c>
      <c r="H7" s="8">
        <v>1539</v>
      </c>
      <c r="I7" s="12">
        <f>SUM(H7/G7*100)</f>
        <v>18.254062388803227</v>
      </c>
      <c r="J7" s="8">
        <v>10719</v>
      </c>
      <c r="K7" s="8">
        <v>1945</v>
      </c>
      <c r="L7" s="10">
        <f>SUM(K7/J7*100)</f>
        <v>18.145349379606309</v>
      </c>
      <c r="M7" s="8"/>
      <c r="N7" s="8">
        <v>11043</v>
      </c>
      <c r="O7" s="7" t="e">
        <f>SUM(N7/M7*100)</f>
        <v>#DIV/0!</v>
      </c>
    </row>
    <row r="8" spans="1:15" ht="29" x14ac:dyDescent="0.45">
      <c r="A8" s="13" t="s">
        <v>4</v>
      </c>
      <c r="B8" s="17"/>
      <c r="C8" s="17">
        <v>27</v>
      </c>
      <c r="D8" s="11">
        <v>576</v>
      </c>
      <c r="E8" s="9">
        <v>168</v>
      </c>
      <c r="F8" s="10">
        <f t="shared" si="0"/>
        <v>29.166666666666668</v>
      </c>
      <c r="G8" s="11">
        <v>576</v>
      </c>
      <c r="H8" s="9">
        <v>151</v>
      </c>
      <c r="I8" s="12">
        <f t="shared" ref="I8:I45" si="1">SUM(H8/G8*100)</f>
        <v>26.215277777777779</v>
      </c>
      <c r="J8" s="9">
        <v>657</v>
      </c>
      <c r="K8" s="9">
        <v>189</v>
      </c>
      <c r="L8" s="10">
        <f t="shared" ref="L8:L45" si="2">SUM(K8/J8*100)</f>
        <v>28.767123287671232</v>
      </c>
      <c r="M8" s="9"/>
      <c r="N8" s="9">
        <v>587</v>
      </c>
      <c r="O8" s="7" t="e">
        <f t="shared" ref="O8:O45" si="3">SUM(N8/M8*100)</f>
        <v>#DIV/0!</v>
      </c>
    </row>
    <row r="9" spans="1:15" ht="16.5" x14ac:dyDescent="0.45">
      <c r="A9" s="13" t="s">
        <v>5</v>
      </c>
      <c r="B9" s="17"/>
      <c r="C9" s="17">
        <v>76</v>
      </c>
      <c r="D9" s="11">
        <v>1425</v>
      </c>
      <c r="E9" s="9">
        <v>275</v>
      </c>
      <c r="F9" s="10">
        <f>SUM(E9/D9*100)</f>
        <v>19.298245614035086</v>
      </c>
      <c r="G9" s="11">
        <v>1425</v>
      </c>
      <c r="H9" s="9">
        <v>210</v>
      </c>
      <c r="I9" s="12">
        <f t="shared" si="1"/>
        <v>14.736842105263156</v>
      </c>
      <c r="J9" s="9">
        <v>1082</v>
      </c>
      <c r="K9" s="9">
        <v>247</v>
      </c>
      <c r="L9" s="10">
        <f t="shared" si="2"/>
        <v>22.828096118299445</v>
      </c>
      <c r="M9" s="9"/>
      <c r="N9" s="9">
        <v>1398</v>
      </c>
      <c r="O9" s="7" t="e">
        <f t="shared" si="3"/>
        <v>#DIV/0!</v>
      </c>
    </row>
    <row r="10" spans="1:15" ht="29" x14ac:dyDescent="0.45">
      <c r="A10" s="13" t="s">
        <v>6</v>
      </c>
      <c r="B10" s="17"/>
      <c r="C10" s="17">
        <v>8</v>
      </c>
      <c r="D10" s="11">
        <v>488</v>
      </c>
      <c r="E10" s="9">
        <v>57</v>
      </c>
      <c r="F10" s="10">
        <f>SUM(E10/D10*100)</f>
        <v>11.68032786885246</v>
      </c>
      <c r="G10" s="11">
        <v>488</v>
      </c>
      <c r="H10" s="9">
        <v>74</v>
      </c>
      <c r="I10" s="12">
        <f t="shared" si="1"/>
        <v>15.163934426229508</v>
      </c>
      <c r="J10" s="9">
        <v>514</v>
      </c>
      <c r="K10" s="9">
        <v>98</v>
      </c>
      <c r="L10" s="10">
        <f t="shared" si="2"/>
        <v>19.066147859922179</v>
      </c>
      <c r="M10" s="9"/>
      <c r="N10" s="9">
        <v>383</v>
      </c>
      <c r="O10" s="7" t="e">
        <f t="shared" si="3"/>
        <v>#DIV/0!</v>
      </c>
    </row>
    <row r="11" spans="1:15" ht="29" x14ac:dyDescent="0.45">
      <c r="A11" s="13" t="s">
        <v>7</v>
      </c>
      <c r="B11" s="17"/>
      <c r="C11" s="17">
        <v>23</v>
      </c>
      <c r="D11" s="11">
        <v>224</v>
      </c>
      <c r="E11" s="9">
        <v>31</v>
      </c>
      <c r="F11" s="10">
        <f t="shared" si="0"/>
        <v>13.839285714285715</v>
      </c>
      <c r="G11" s="11">
        <v>224</v>
      </c>
      <c r="H11" s="9">
        <v>58</v>
      </c>
      <c r="I11" s="12">
        <f t="shared" si="1"/>
        <v>25.892857142857146</v>
      </c>
      <c r="J11" s="9">
        <v>243</v>
      </c>
      <c r="K11" s="9">
        <v>119</v>
      </c>
      <c r="L11" s="10">
        <f t="shared" si="2"/>
        <v>48.971193415637856</v>
      </c>
      <c r="M11" s="9"/>
      <c r="N11" s="9">
        <v>211</v>
      </c>
      <c r="O11" s="7" t="e">
        <f t="shared" si="3"/>
        <v>#DIV/0!</v>
      </c>
    </row>
    <row r="12" spans="1:15" ht="16.5" x14ac:dyDescent="0.45">
      <c r="A12" s="13" t="s">
        <v>8</v>
      </c>
      <c r="B12" s="17"/>
      <c r="C12" s="17">
        <v>9</v>
      </c>
      <c r="D12" s="11">
        <v>135</v>
      </c>
      <c r="E12" s="9">
        <v>41</v>
      </c>
      <c r="F12" s="10">
        <f t="shared" si="0"/>
        <v>30.37037037037037</v>
      </c>
      <c r="G12" s="11">
        <v>135</v>
      </c>
      <c r="H12" s="9">
        <v>35</v>
      </c>
      <c r="I12" s="12">
        <f t="shared" si="1"/>
        <v>25.925925925925924</v>
      </c>
      <c r="J12" s="9">
        <v>190</v>
      </c>
      <c r="K12" s="9">
        <v>61</v>
      </c>
      <c r="L12" s="10">
        <f t="shared" si="2"/>
        <v>32.10526315789474</v>
      </c>
      <c r="M12" s="9"/>
      <c r="N12" s="9">
        <v>395</v>
      </c>
      <c r="O12" s="7" t="e">
        <f t="shared" si="3"/>
        <v>#DIV/0!</v>
      </c>
    </row>
    <row r="13" spans="1:15" ht="29" x14ac:dyDescent="0.45">
      <c r="A13" s="13" t="s">
        <v>9</v>
      </c>
      <c r="B13" s="17"/>
      <c r="C13" s="17">
        <v>65</v>
      </c>
      <c r="D13" s="11">
        <v>1283</v>
      </c>
      <c r="E13" s="9">
        <v>206</v>
      </c>
      <c r="F13" s="10">
        <f t="shared" si="0"/>
        <v>16.056118472330475</v>
      </c>
      <c r="G13" s="11">
        <v>1283</v>
      </c>
      <c r="H13" s="9">
        <v>164</v>
      </c>
      <c r="I13" s="12">
        <f t="shared" si="1"/>
        <v>12.782540919719407</v>
      </c>
      <c r="J13" s="9">
        <v>1399</v>
      </c>
      <c r="K13" s="9">
        <v>217</v>
      </c>
      <c r="L13" s="10">
        <f t="shared" si="2"/>
        <v>15.511079342387418</v>
      </c>
      <c r="M13" s="9"/>
      <c r="N13" s="9">
        <v>1040</v>
      </c>
      <c r="O13" s="7" t="e">
        <f t="shared" si="3"/>
        <v>#DIV/0!</v>
      </c>
    </row>
    <row r="14" spans="1:15" ht="16.5" x14ac:dyDescent="0.45">
      <c r="A14" s="13" t="s">
        <v>10</v>
      </c>
      <c r="B14" s="17"/>
      <c r="C14" s="17">
        <v>6</v>
      </c>
      <c r="D14" s="11">
        <v>581</v>
      </c>
      <c r="E14" s="9">
        <v>84</v>
      </c>
      <c r="F14" s="10">
        <f t="shared" si="0"/>
        <v>14.457831325301203</v>
      </c>
      <c r="G14" s="11">
        <v>581</v>
      </c>
      <c r="H14" s="9">
        <v>96</v>
      </c>
      <c r="I14" s="12">
        <f t="shared" si="1"/>
        <v>16.523235800344235</v>
      </c>
      <c r="J14" s="9">
        <v>608</v>
      </c>
      <c r="K14" s="9">
        <v>91</v>
      </c>
      <c r="L14" s="10">
        <f t="shared" si="2"/>
        <v>14.967105263157896</v>
      </c>
      <c r="M14" s="9"/>
      <c r="N14" s="9">
        <v>1020</v>
      </c>
      <c r="O14" s="7" t="e">
        <f t="shared" si="3"/>
        <v>#DIV/0!</v>
      </c>
    </row>
    <row r="15" spans="1:15" ht="16.5" x14ac:dyDescent="0.45">
      <c r="A15" s="13" t="s">
        <v>11</v>
      </c>
      <c r="B15" s="17"/>
      <c r="C15" s="17">
        <v>26</v>
      </c>
      <c r="D15" s="11">
        <v>166</v>
      </c>
      <c r="E15" s="9">
        <v>19</v>
      </c>
      <c r="F15" s="10">
        <f t="shared" si="0"/>
        <v>11.445783132530121</v>
      </c>
      <c r="G15" s="11">
        <v>166</v>
      </c>
      <c r="H15" s="9">
        <v>39</v>
      </c>
      <c r="I15" s="12">
        <f t="shared" si="1"/>
        <v>23.493975903614459</v>
      </c>
      <c r="J15" s="9">
        <v>177</v>
      </c>
      <c r="K15" s="9">
        <v>51</v>
      </c>
      <c r="L15" s="10">
        <f t="shared" si="2"/>
        <v>28.8135593220339</v>
      </c>
      <c r="M15" s="9"/>
      <c r="N15" s="9">
        <v>273</v>
      </c>
      <c r="O15" s="7" t="e">
        <f t="shared" si="3"/>
        <v>#DIV/0!</v>
      </c>
    </row>
    <row r="16" spans="1:15" ht="16.5" x14ac:dyDescent="0.45">
      <c r="A16" s="13" t="s">
        <v>12</v>
      </c>
      <c r="B16" s="17"/>
      <c r="C16" s="17">
        <v>54</v>
      </c>
      <c r="D16" s="11">
        <v>952</v>
      </c>
      <c r="E16" s="9">
        <v>91</v>
      </c>
      <c r="F16" s="10">
        <f t="shared" si="0"/>
        <v>9.5588235294117645</v>
      </c>
      <c r="G16" s="11">
        <v>952</v>
      </c>
      <c r="H16" s="9">
        <v>92</v>
      </c>
      <c r="I16" s="12">
        <f t="shared" si="1"/>
        <v>9.6638655462184886</v>
      </c>
      <c r="J16" s="9">
        <v>851</v>
      </c>
      <c r="K16" s="9">
        <v>165</v>
      </c>
      <c r="L16" s="10">
        <f t="shared" si="2"/>
        <v>19.388954171562865</v>
      </c>
      <c r="M16" s="9"/>
      <c r="N16" s="9">
        <v>1938</v>
      </c>
      <c r="O16" s="7" t="e">
        <f t="shared" si="3"/>
        <v>#DIV/0!</v>
      </c>
    </row>
    <row r="17" spans="1:15" ht="29" x14ac:dyDescent="0.45">
      <c r="A17" s="13" t="s">
        <v>13</v>
      </c>
      <c r="B17" s="17"/>
      <c r="C17" s="17">
        <v>9</v>
      </c>
      <c r="D17" s="11">
        <v>403</v>
      </c>
      <c r="E17" s="9">
        <v>140</v>
      </c>
      <c r="F17" s="10">
        <f t="shared" si="0"/>
        <v>34.739454094292803</v>
      </c>
      <c r="G17" s="11">
        <v>403</v>
      </c>
      <c r="H17" s="9">
        <v>96</v>
      </c>
      <c r="I17" s="12">
        <f t="shared" si="1"/>
        <v>23.821339950372209</v>
      </c>
      <c r="J17" s="9">
        <v>254</v>
      </c>
      <c r="K17" s="9">
        <v>113</v>
      </c>
      <c r="L17" s="10">
        <f t="shared" si="2"/>
        <v>44.488188976377948</v>
      </c>
      <c r="M17" s="9"/>
      <c r="N17" s="9">
        <v>414</v>
      </c>
      <c r="O17" s="7" t="e">
        <f t="shared" si="3"/>
        <v>#DIV/0!</v>
      </c>
    </row>
    <row r="18" spans="1:15" ht="16.5" x14ac:dyDescent="0.45">
      <c r="A18" s="14" t="s">
        <v>14</v>
      </c>
      <c r="B18" s="17"/>
      <c r="C18" s="17">
        <v>1</v>
      </c>
      <c r="D18" s="11">
        <v>643</v>
      </c>
      <c r="E18" s="9">
        <v>162</v>
      </c>
      <c r="F18" s="10">
        <f t="shared" si="0"/>
        <v>25.194401244167963</v>
      </c>
      <c r="G18" s="11">
        <v>643</v>
      </c>
      <c r="H18" s="9">
        <v>111</v>
      </c>
      <c r="I18" s="12">
        <f t="shared" si="1"/>
        <v>17.262830482115085</v>
      </c>
      <c r="J18" s="9">
        <v>843</v>
      </c>
      <c r="K18" s="9">
        <v>129</v>
      </c>
      <c r="L18" s="10">
        <f t="shared" si="2"/>
        <v>15.302491103202847</v>
      </c>
      <c r="M18" s="9"/>
      <c r="N18" s="9">
        <v>727</v>
      </c>
      <c r="O18" s="7" t="e">
        <f t="shared" si="3"/>
        <v>#DIV/0!</v>
      </c>
    </row>
    <row r="19" spans="1:15" ht="43.5" x14ac:dyDescent="0.45">
      <c r="A19" s="14" t="s">
        <v>15</v>
      </c>
      <c r="B19" s="17"/>
      <c r="C19" s="17">
        <v>0</v>
      </c>
      <c r="D19" s="11">
        <v>236</v>
      </c>
      <c r="E19" s="9">
        <v>58</v>
      </c>
      <c r="F19" s="10">
        <f t="shared" si="0"/>
        <v>24.576271186440678</v>
      </c>
      <c r="G19" s="11">
        <v>236</v>
      </c>
      <c r="H19" s="9">
        <v>61</v>
      </c>
      <c r="I19" s="12">
        <f t="shared" si="1"/>
        <v>25.847457627118644</v>
      </c>
      <c r="J19" s="9">
        <v>231</v>
      </c>
      <c r="K19" s="9">
        <v>73</v>
      </c>
      <c r="L19" s="10">
        <f t="shared" si="2"/>
        <v>31.601731601731604</v>
      </c>
      <c r="M19" s="9"/>
      <c r="N19" s="9">
        <v>560</v>
      </c>
      <c r="O19" s="7" t="e">
        <f t="shared" si="3"/>
        <v>#DIV/0!</v>
      </c>
    </row>
    <row r="20" spans="1:15" ht="29" x14ac:dyDescent="0.45">
      <c r="A20" s="14" t="s">
        <v>16</v>
      </c>
      <c r="B20" s="17"/>
      <c r="C20" s="17">
        <v>188</v>
      </c>
      <c r="D20" s="11">
        <v>5736</v>
      </c>
      <c r="E20" s="9">
        <v>1081</v>
      </c>
      <c r="F20" s="10">
        <f t="shared" si="0"/>
        <v>18.845885634588562</v>
      </c>
      <c r="G20" s="11">
        <v>5736</v>
      </c>
      <c r="H20" s="9">
        <v>820</v>
      </c>
      <c r="I20" s="12">
        <f t="shared" si="1"/>
        <v>14.295676429567644</v>
      </c>
      <c r="J20" s="9">
        <v>6878</v>
      </c>
      <c r="K20" s="9">
        <v>839</v>
      </c>
      <c r="L20" s="10">
        <f t="shared" si="2"/>
        <v>12.198313463216051</v>
      </c>
      <c r="M20" s="9"/>
      <c r="N20" s="9">
        <v>4671</v>
      </c>
      <c r="O20" s="7" t="e">
        <f t="shared" si="3"/>
        <v>#DIV/0!</v>
      </c>
    </row>
    <row r="21" spans="1:15" ht="16.5" x14ac:dyDescent="0.45">
      <c r="A21" s="14" t="s">
        <v>17</v>
      </c>
      <c r="B21" s="17"/>
      <c r="C21" s="17">
        <v>36</v>
      </c>
      <c r="D21" s="11">
        <v>2230</v>
      </c>
      <c r="E21" s="9">
        <v>563</v>
      </c>
      <c r="F21" s="10">
        <f t="shared" si="0"/>
        <v>25.246636771300444</v>
      </c>
      <c r="G21" s="11">
        <v>2230</v>
      </c>
      <c r="H21" s="9">
        <v>846</v>
      </c>
      <c r="I21" s="12">
        <f t="shared" si="1"/>
        <v>37.937219730941699</v>
      </c>
      <c r="J21" s="9">
        <v>2609</v>
      </c>
      <c r="K21" s="9">
        <v>611</v>
      </c>
      <c r="L21" s="10">
        <f t="shared" si="2"/>
        <v>23.418934457646611</v>
      </c>
      <c r="M21" s="9"/>
      <c r="N21" s="9">
        <v>4729</v>
      </c>
      <c r="O21" s="7" t="e">
        <f t="shared" si="3"/>
        <v>#DIV/0!</v>
      </c>
    </row>
    <row r="22" spans="1:15" ht="16.5" x14ac:dyDescent="0.45">
      <c r="A22" s="14" t="s">
        <v>18</v>
      </c>
      <c r="B22" s="17"/>
      <c r="C22" s="17">
        <v>0</v>
      </c>
      <c r="D22" s="11">
        <v>543</v>
      </c>
      <c r="E22" s="9">
        <v>127</v>
      </c>
      <c r="F22" s="10">
        <f t="shared" si="0"/>
        <v>23.388581952117864</v>
      </c>
      <c r="G22" s="11">
        <v>543</v>
      </c>
      <c r="H22" s="9">
        <v>117</v>
      </c>
      <c r="I22" s="12">
        <f t="shared" si="1"/>
        <v>21.546961325966851</v>
      </c>
      <c r="J22" s="9">
        <v>634</v>
      </c>
      <c r="K22" s="9">
        <v>174</v>
      </c>
      <c r="L22" s="10">
        <f t="shared" si="2"/>
        <v>27.444794952681388</v>
      </c>
      <c r="M22" s="9"/>
      <c r="N22" s="9">
        <v>1324</v>
      </c>
      <c r="O22" s="7" t="e">
        <f t="shared" si="3"/>
        <v>#DIV/0!</v>
      </c>
    </row>
    <row r="23" spans="1:15" ht="16.5" x14ac:dyDescent="0.45">
      <c r="A23" s="14" t="s">
        <v>19</v>
      </c>
      <c r="B23" s="17"/>
      <c r="C23" s="17">
        <v>0</v>
      </c>
      <c r="D23" s="11">
        <v>284</v>
      </c>
      <c r="E23" s="9">
        <v>77</v>
      </c>
      <c r="F23" s="10">
        <f t="shared" si="0"/>
        <v>27.112676056338032</v>
      </c>
      <c r="G23" s="11">
        <v>284</v>
      </c>
      <c r="H23" s="9">
        <v>70</v>
      </c>
      <c r="I23" s="12">
        <f t="shared" si="1"/>
        <v>24.647887323943664</v>
      </c>
      <c r="J23" s="9">
        <v>376</v>
      </c>
      <c r="K23" s="9">
        <v>132</v>
      </c>
      <c r="L23" s="10">
        <f t="shared" si="2"/>
        <v>35.106382978723403</v>
      </c>
      <c r="M23" s="9"/>
      <c r="N23" s="9">
        <v>745</v>
      </c>
      <c r="O23" s="7" t="e">
        <f t="shared" si="3"/>
        <v>#DIV/0!</v>
      </c>
    </row>
    <row r="24" spans="1:15" ht="29" x14ac:dyDescent="0.45">
      <c r="A24" s="14" t="s">
        <v>20</v>
      </c>
      <c r="B24" s="17"/>
      <c r="C24" s="17">
        <v>2</v>
      </c>
      <c r="D24" s="11">
        <v>220</v>
      </c>
      <c r="E24" s="9">
        <v>42</v>
      </c>
      <c r="F24" s="10">
        <f t="shared" si="0"/>
        <v>19.090909090909093</v>
      </c>
      <c r="G24" s="11">
        <v>220</v>
      </c>
      <c r="H24" s="9">
        <v>70</v>
      </c>
      <c r="I24" s="12">
        <f t="shared" si="1"/>
        <v>31.818181818181817</v>
      </c>
      <c r="J24" s="9">
        <v>212</v>
      </c>
      <c r="K24" s="9">
        <v>136</v>
      </c>
      <c r="L24" s="10">
        <f t="shared" si="2"/>
        <v>64.15094339622641</v>
      </c>
      <c r="M24" s="9"/>
      <c r="N24" s="9">
        <v>158</v>
      </c>
      <c r="O24" s="7" t="e">
        <f t="shared" si="3"/>
        <v>#DIV/0!</v>
      </c>
    </row>
    <row r="25" spans="1:15" ht="29" x14ac:dyDescent="0.45">
      <c r="A25" s="14" t="s">
        <v>21</v>
      </c>
      <c r="B25" s="17"/>
      <c r="C25" s="17">
        <v>0</v>
      </c>
      <c r="D25" s="11">
        <v>228</v>
      </c>
      <c r="E25" s="9">
        <v>39</v>
      </c>
      <c r="F25" s="10">
        <f t="shared" si="0"/>
        <v>17.105263157894736</v>
      </c>
      <c r="G25" s="11">
        <v>228</v>
      </c>
      <c r="H25" s="9">
        <v>32</v>
      </c>
      <c r="I25" s="12">
        <f t="shared" si="1"/>
        <v>14.035087719298245</v>
      </c>
      <c r="J25" s="9">
        <v>219</v>
      </c>
      <c r="K25" s="9">
        <v>51</v>
      </c>
      <c r="L25" s="10">
        <f t="shared" si="2"/>
        <v>23.287671232876711</v>
      </c>
      <c r="M25" s="9"/>
      <c r="N25" s="9">
        <v>330</v>
      </c>
      <c r="O25" s="7" t="e">
        <f t="shared" si="3"/>
        <v>#DIV/0!</v>
      </c>
    </row>
    <row r="26" spans="1:15" ht="29" x14ac:dyDescent="0.45">
      <c r="A26" s="14" t="s">
        <v>22</v>
      </c>
      <c r="B26" s="17"/>
      <c r="C26" s="17">
        <v>0</v>
      </c>
      <c r="D26" s="11">
        <v>33</v>
      </c>
      <c r="E26" s="9">
        <v>21</v>
      </c>
      <c r="F26" s="10">
        <f t="shared" si="0"/>
        <v>63.636363636363633</v>
      </c>
      <c r="G26" s="11">
        <v>33</v>
      </c>
      <c r="H26" s="9">
        <v>7</v>
      </c>
      <c r="I26" s="12">
        <f t="shared" si="1"/>
        <v>21.212121212121211</v>
      </c>
      <c r="J26" s="9">
        <v>38</v>
      </c>
      <c r="K26" s="9">
        <v>4</v>
      </c>
      <c r="L26" s="10">
        <f t="shared" si="2"/>
        <v>10.526315789473683</v>
      </c>
      <c r="M26" s="9"/>
      <c r="N26" s="9">
        <v>200</v>
      </c>
      <c r="O26" s="7" t="e">
        <f t="shared" si="3"/>
        <v>#DIV/0!</v>
      </c>
    </row>
    <row r="27" spans="1:15" ht="29" x14ac:dyDescent="0.45">
      <c r="A27" s="14" t="s">
        <v>23</v>
      </c>
      <c r="B27" s="17"/>
      <c r="C27" s="17">
        <v>0</v>
      </c>
      <c r="D27" s="11">
        <v>38</v>
      </c>
      <c r="E27" s="9">
        <v>10</v>
      </c>
      <c r="F27" s="10">
        <f t="shared" si="0"/>
        <v>26.315789473684209</v>
      </c>
      <c r="G27" s="11">
        <v>38</v>
      </c>
      <c r="H27" s="9">
        <v>5</v>
      </c>
      <c r="I27" s="12">
        <f t="shared" si="1"/>
        <v>13.157894736842104</v>
      </c>
      <c r="J27" s="9">
        <v>41</v>
      </c>
      <c r="K27" s="9">
        <v>9</v>
      </c>
      <c r="L27" s="10">
        <f t="shared" si="2"/>
        <v>21.951219512195124</v>
      </c>
      <c r="M27" s="9"/>
      <c r="N27" s="9">
        <v>130</v>
      </c>
      <c r="O27" s="7" t="e">
        <f t="shared" si="3"/>
        <v>#DIV/0!</v>
      </c>
    </row>
    <row r="28" spans="1:15" ht="16.5" x14ac:dyDescent="0.45">
      <c r="A28" s="14" t="s">
        <v>24</v>
      </c>
      <c r="B28" s="17"/>
      <c r="C28" s="17">
        <v>0</v>
      </c>
      <c r="D28" s="11">
        <v>130</v>
      </c>
      <c r="E28" s="9">
        <v>15</v>
      </c>
      <c r="F28" s="10">
        <f t="shared" si="0"/>
        <v>11.538461538461538</v>
      </c>
      <c r="G28" s="11">
        <v>130</v>
      </c>
      <c r="H28" s="9">
        <v>41</v>
      </c>
      <c r="I28" s="12">
        <f t="shared" si="1"/>
        <v>31.538461538461537</v>
      </c>
      <c r="J28" s="9">
        <v>140</v>
      </c>
      <c r="K28" s="9">
        <v>43</v>
      </c>
      <c r="L28" s="10">
        <f t="shared" si="2"/>
        <v>30.714285714285715</v>
      </c>
      <c r="M28" s="9"/>
      <c r="N28" s="9">
        <v>191</v>
      </c>
      <c r="O28" s="7" t="e">
        <f t="shared" si="3"/>
        <v>#DIV/0!</v>
      </c>
    </row>
    <row r="29" spans="1:15" ht="16.5" x14ac:dyDescent="0.45">
      <c r="A29" s="14" t="s">
        <v>25</v>
      </c>
      <c r="B29" s="17"/>
      <c r="C29" s="17">
        <v>0</v>
      </c>
      <c r="D29" s="11">
        <v>278</v>
      </c>
      <c r="E29" s="9">
        <v>91</v>
      </c>
      <c r="F29" s="10">
        <f t="shared" si="0"/>
        <v>32.733812949640289</v>
      </c>
      <c r="G29" s="11">
        <v>278</v>
      </c>
      <c r="H29" s="9">
        <v>96</v>
      </c>
      <c r="I29" s="12">
        <f t="shared" si="1"/>
        <v>34.532374100719423</v>
      </c>
      <c r="J29" s="9">
        <v>348</v>
      </c>
      <c r="K29" s="9">
        <v>147</v>
      </c>
      <c r="L29" s="10">
        <f t="shared" si="2"/>
        <v>42.241379310344826</v>
      </c>
      <c r="M29" s="9"/>
      <c r="N29" s="9">
        <v>165</v>
      </c>
      <c r="O29" s="7" t="e">
        <f t="shared" si="3"/>
        <v>#DIV/0!</v>
      </c>
    </row>
    <row r="30" spans="1:15" ht="16.5" x14ac:dyDescent="0.45">
      <c r="A30" s="15" t="s">
        <v>26</v>
      </c>
      <c r="B30" s="17"/>
      <c r="C30" s="17">
        <v>25</v>
      </c>
      <c r="D30" s="11">
        <v>499</v>
      </c>
      <c r="E30" s="9">
        <v>104</v>
      </c>
      <c r="F30" s="10">
        <f t="shared" si="0"/>
        <v>20.841683366733466</v>
      </c>
      <c r="G30" s="11">
        <v>499</v>
      </c>
      <c r="H30" s="9">
        <v>86</v>
      </c>
      <c r="I30" s="12">
        <f t="shared" si="1"/>
        <v>17.234468937875754</v>
      </c>
      <c r="J30" s="9">
        <v>560</v>
      </c>
      <c r="K30" s="9">
        <v>137</v>
      </c>
      <c r="L30" s="10">
        <f t="shared" si="2"/>
        <v>24.464285714285712</v>
      </c>
      <c r="M30" s="9"/>
      <c r="N30" s="9">
        <v>547</v>
      </c>
      <c r="O30" s="7" t="e">
        <f t="shared" si="3"/>
        <v>#DIV/0!</v>
      </c>
    </row>
    <row r="31" spans="1:15" ht="16.5" x14ac:dyDescent="0.45">
      <c r="A31" s="15" t="s">
        <v>27</v>
      </c>
      <c r="B31" s="17"/>
      <c r="C31" s="17">
        <v>0</v>
      </c>
      <c r="D31" s="11">
        <v>54</v>
      </c>
      <c r="E31" s="9">
        <v>10</v>
      </c>
      <c r="F31" s="10">
        <f t="shared" si="0"/>
        <v>18.518518518518519</v>
      </c>
      <c r="G31" s="11">
        <v>54</v>
      </c>
      <c r="H31" s="9">
        <v>21</v>
      </c>
      <c r="I31" s="12">
        <f t="shared" si="1"/>
        <v>38.888888888888893</v>
      </c>
      <c r="J31" s="9">
        <v>51</v>
      </c>
      <c r="K31" s="9">
        <v>27</v>
      </c>
      <c r="L31" s="10">
        <f t="shared" si="2"/>
        <v>52.941176470588239</v>
      </c>
      <c r="M31" s="9"/>
      <c r="N31" s="9">
        <v>31</v>
      </c>
      <c r="O31" s="7" t="e">
        <f t="shared" si="3"/>
        <v>#DIV/0!</v>
      </c>
    </row>
    <row r="32" spans="1:15" ht="16.5" x14ac:dyDescent="0.45">
      <c r="A32" s="15" t="s">
        <v>28</v>
      </c>
      <c r="B32" s="17"/>
      <c r="C32" s="17">
        <v>0</v>
      </c>
      <c r="D32" s="11">
        <v>137</v>
      </c>
      <c r="E32" s="9">
        <v>24</v>
      </c>
      <c r="F32" s="10">
        <f t="shared" si="0"/>
        <v>17.518248175182482</v>
      </c>
      <c r="G32" s="11">
        <v>137</v>
      </c>
      <c r="H32" s="9">
        <v>18</v>
      </c>
      <c r="I32" s="12">
        <f t="shared" si="1"/>
        <v>13.138686131386862</v>
      </c>
      <c r="J32" s="9">
        <v>184</v>
      </c>
      <c r="K32" s="9">
        <v>14</v>
      </c>
      <c r="L32" s="10">
        <f t="shared" si="2"/>
        <v>7.608695652173914</v>
      </c>
      <c r="M32" s="9"/>
      <c r="N32" s="9">
        <v>84</v>
      </c>
      <c r="O32" s="7" t="e">
        <f t="shared" si="3"/>
        <v>#DIV/0!</v>
      </c>
    </row>
    <row r="33" spans="1:15" ht="16.5" x14ac:dyDescent="0.45">
      <c r="A33" s="15" t="s">
        <v>29</v>
      </c>
      <c r="B33" s="17"/>
      <c r="C33" s="17">
        <v>8</v>
      </c>
      <c r="D33" s="11">
        <v>443</v>
      </c>
      <c r="E33" s="9">
        <v>218</v>
      </c>
      <c r="F33" s="10">
        <f t="shared" si="0"/>
        <v>49.209932279909708</v>
      </c>
      <c r="G33" s="11">
        <v>443</v>
      </c>
      <c r="H33" s="9">
        <v>235</v>
      </c>
      <c r="I33" s="12">
        <f t="shared" si="1"/>
        <v>53.04740406320542</v>
      </c>
      <c r="J33" s="9">
        <v>425</v>
      </c>
      <c r="K33" s="9">
        <v>201</v>
      </c>
      <c r="L33" s="10">
        <f t="shared" si="2"/>
        <v>47.294117647058826</v>
      </c>
      <c r="M33" s="9"/>
      <c r="N33" s="9">
        <v>1021</v>
      </c>
      <c r="O33" s="7" t="e">
        <f t="shared" si="3"/>
        <v>#DIV/0!</v>
      </c>
    </row>
    <row r="34" spans="1:15" ht="16.5" x14ac:dyDescent="0.45">
      <c r="A34" s="15" t="s">
        <v>30</v>
      </c>
      <c r="B34" s="17"/>
      <c r="C34" s="17">
        <v>0</v>
      </c>
      <c r="D34" s="11">
        <v>99</v>
      </c>
      <c r="E34" s="9">
        <v>14</v>
      </c>
      <c r="F34" s="10">
        <f t="shared" si="0"/>
        <v>14.14141414141414</v>
      </c>
      <c r="G34" s="11">
        <v>99</v>
      </c>
      <c r="H34" s="9">
        <v>12</v>
      </c>
      <c r="I34" s="12">
        <f t="shared" si="1"/>
        <v>12.121212121212121</v>
      </c>
      <c r="J34" s="9">
        <v>95</v>
      </c>
      <c r="K34" s="9">
        <v>19</v>
      </c>
      <c r="L34" s="10">
        <f t="shared" si="2"/>
        <v>20</v>
      </c>
      <c r="M34" s="9"/>
      <c r="N34" s="9">
        <v>11</v>
      </c>
      <c r="O34" s="7" t="e">
        <f t="shared" si="3"/>
        <v>#DIV/0!</v>
      </c>
    </row>
    <row r="35" spans="1:15" ht="43.5" x14ac:dyDescent="0.45">
      <c r="A35" s="15" t="s">
        <v>31</v>
      </c>
      <c r="B35" s="17"/>
      <c r="C35" s="17">
        <v>48</v>
      </c>
      <c r="D35" s="11">
        <v>1467</v>
      </c>
      <c r="E35" s="9">
        <v>181</v>
      </c>
      <c r="F35" s="10">
        <f t="shared" si="0"/>
        <v>12.338104976141787</v>
      </c>
      <c r="G35" s="11">
        <v>1467</v>
      </c>
      <c r="H35" s="9">
        <v>262</v>
      </c>
      <c r="I35" s="12">
        <f t="shared" si="1"/>
        <v>17.859577368779821</v>
      </c>
      <c r="J35" s="9">
        <v>1144</v>
      </c>
      <c r="K35" s="9">
        <v>162</v>
      </c>
      <c r="L35" s="10">
        <f t="shared" si="2"/>
        <v>14.160839160839162</v>
      </c>
      <c r="M35" s="9"/>
      <c r="N35" s="9">
        <v>1406</v>
      </c>
      <c r="O35" s="7" t="e">
        <f t="shared" si="3"/>
        <v>#DIV/0!</v>
      </c>
    </row>
    <row r="36" spans="1:15" ht="29" x14ac:dyDescent="0.45">
      <c r="A36" s="15" t="s">
        <v>32</v>
      </c>
      <c r="B36" s="17"/>
      <c r="C36" s="17">
        <v>6</v>
      </c>
      <c r="D36" s="11">
        <v>30</v>
      </c>
      <c r="E36" s="9">
        <v>32</v>
      </c>
      <c r="F36" s="10">
        <f t="shared" si="0"/>
        <v>106.66666666666667</v>
      </c>
      <c r="G36" s="11">
        <v>30</v>
      </c>
      <c r="H36" s="9">
        <v>31</v>
      </c>
      <c r="I36" s="12">
        <f t="shared" si="1"/>
        <v>103.33333333333334</v>
      </c>
      <c r="J36" s="9">
        <v>50</v>
      </c>
      <c r="K36" s="9">
        <v>43</v>
      </c>
      <c r="L36" s="10">
        <f t="shared" si="2"/>
        <v>86</v>
      </c>
      <c r="M36" s="9"/>
      <c r="N36" s="9">
        <v>73</v>
      </c>
      <c r="O36" s="7" t="e">
        <f t="shared" si="3"/>
        <v>#DIV/0!</v>
      </c>
    </row>
    <row r="37" spans="1:15" ht="16.5" x14ac:dyDescent="0.45">
      <c r="A37" s="15" t="s">
        <v>33</v>
      </c>
      <c r="B37" s="17"/>
      <c r="C37" s="17">
        <v>1</v>
      </c>
      <c r="D37" s="11">
        <v>112</v>
      </c>
      <c r="E37" s="9">
        <v>26</v>
      </c>
      <c r="F37" s="10">
        <f t="shared" si="0"/>
        <v>23.214285714285715</v>
      </c>
      <c r="G37" s="11">
        <v>112</v>
      </c>
      <c r="H37" s="9">
        <v>16</v>
      </c>
      <c r="I37" s="12">
        <f t="shared" si="1"/>
        <v>14.285714285714285</v>
      </c>
      <c r="J37" s="9">
        <v>133</v>
      </c>
      <c r="K37" s="9">
        <v>39</v>
      </c>
      <c r="L37" s="10">
        <f t="shared" si="2"/>
        <v>29.323308270676691</v>
      </c>
      <c r="M37" s="9"/>
      <c r="N37" s="9">
        <v>11</v>
      </c>
      <c r="O37" s="7" t="e">
        <f t="shared" si="3"/>
        <v>#DIV/0!</v>
      </c>
    </row>
    <row r="38" spans="1:15" ht="29" x14ac:dyDescent="0.45">
      <c r="A38" s="16" t="s">
        <v>34</v>
      </c>
      <c r="B38" s="17"/>
      <c r="C38" s="17">
        <v>1</v>
      </c>
      <c r="D38" s="11">
        <v>61</v>
      </c>
      <c r="E38" s="9">
        <v>8</v>
      </c>
      <c r="F38" s="10">
        <f t="shared" si="0"/>
        <v>13.114754098360656</v>
      </c>
      <c r="G38" s="11">
        <v>61</v>
      </c>
      <c r="H38" s="9">
        <v>16</v>
      </c>
      <c r="I38" s="12">
        <f t="shared" si="1"/>
        <v>26.229508196721312</v>
      </c>
      <c r="J38" s="9">
        <v>105</v>
      </c>
      <c r="K38" s="9">
        <v>12</v>
      </c>
      <c r="L38" s="10">
        <f t="shared" si="2"/>
        <v>11.428571428571429</v>
      </c>
      <c r="M38" s="9"/>
      <c r="N38" s="9">
        <v>56</v>
      </c>
      <c r="O38" s="7" t="e">
        <f t="shared" si="3"/>
        <v>#DIV/0!</v>
      </c>
    </row>
    <row r="39" spans="1:15" ht="16.5" x14ac:dyDescent="0.45">
      <c r="A39" s="16" t="s">
        <v>35</v>
      </c>
      <c r="B39" s="17"/>
      <c r="C39" s="17">
        <v>6</v>
      </c>
      <c r="D39" s="11">
        <v>117</v>
      </c>
      <c r="E39" s="9">
        <v>26</v>
      </c>
      <c r="F39" s="10">
        <f t="shared" si="0"/>
        <v>22.222222222222221</v>
      </c>
      <c r="G39" s="11">
        <v>117</v>
      </c>
      <c r="H39" s="9">
        <v>25</v>
      </c>
      <c r="I39" s="12">
        <f t="shared" si="1"/>
        <v>21.367521367521366</v>
      </c>
      <c r="J39" s="9">
        <v>64</v>
      </c>
      <c r="K39" s="9">
        <v>42</v>
      </c>
      <c r="L39" s="10">
        <f t="shared" si="2"/>
        <v>65.625</v>
      </c>
      <c r="M39" s="9"/>
      <c r="N39" s="9">
        <v>390</v>
      </c>
      <c r="O39" s="7" t="e">
        <f t="shared" si="3"/>
        <v>#DIV/0!</v>
      </c>
    </row>
    <row r="40" spans="1:15" ht="16.5" x14ac:dyDescent="0.45">
      <c r="A40" s="16" t="s">
        <v>36</v>
      </c>
      <c r="B40" s="17"/>
      <c r="C40" s="17">
        <v>0</v>
      </c>
      <c r="D40" s="11">
        <v>62</v>
      </c>
      <c r="E40" s="9">
        <v>5</v>
      </c>
      <c r="F40" s="10">
        <f t="shared" si="0"/>
        <v>8.064516129032258</v>
      </c>
      <c r="G40" s="11">
        <v>62</v>
      </c>
      <c r="H40" s="9">
        <v>12</v>
      </c>
      <c r="I40" s="12">
        <f t="shared" si="1"/>
        <v>19.35483870967742</v>
      </c>
      <c r="J40" s="9">
        <v>69</v>
      </c>
      <c r="K40" s="9">
        <v>16</v>
      </c>
      <c r="L40" s="10">
        <f t="shared" si="2"/>
        <v>23.188405797101449</v>
      </c>
      <c r="M40" s="9"/>
      <c r="N40" s="9">
        <v>82</v>
      </c>
      <c r="O40" s="7" t="e">
        <f t="shared" si="3"/>
        <v>#DIV/0!</v>
      </c>
    </row>
    <row r="41" spans="1:15" ht="16.5" x14ac:dyDescent="0.45">
      <c r="A41" s="16" t="s">
        <v>37</v>
      </c>
      <c r="B41" s="17"/>
      <c r="C41" s="17">
        <v>1</v>
      </c>
      <c r="D41" s="11">
        <v>62</v>
      </c>
      <c r="E41" s="9">
        <v>9</v>
      </c>
      <c r="F41" s="10">
        <f t="shared" si="0"/>
        <v>14.516129032258066</v>
      </c>
      <c r="G41" s="11">
        <v>62</v>
      </c>
      <c r="H41" s="9">
        <v>8</v>
      </c>
      <c r="I41" s="12">
        <f t="shared" si="1"/>
        <v>12.903225806451612</v>
      </c>
      <c r="J41" s="9">
        <v>75</v>
      </c>
      <c r="K41" s="9">
        <v>16</v>
      </c>
      <c r="L41" s="10">
        <f t="shared" si="2"/>
        <v>21.333333333333336</v>
      </c>
      <c r="M41" s="9"/>
      <c r="N41" s="9">
        <v>121</v>
      </c>
      <c r="O41" s="7" t="e">
        <f t="shared" si="3"/>
        <v>#DIV/0!</v>
      </c>
    </row>
    <row r="42" spans="1:15" ht="16.5" x14ac:dyDescent="0.45">
      <c r="A42" s="16" t="s">
        <v>38</v>
      </c>
      <c r="B42" s="17"/>
      <c r="C42" s="17">
        <v>9</v>
      </c>
      <c r="D42" s="11">
        <v>130</v>
      </c>
      <c r="E42" s="9">
        <v>23</v>
      </c>
      <c r="F42" s="10">
        <f t="shared" si="0"/>
        <v>17.692307692307693</v>
      </c>
      <c r="G42" s="11">
        <v>130</v>
      </c>
      <c r="H42" s="9">
        <v>20</v>
      </c>
      <c r="I42" s="12">
        <f t="shared" si="1"/>
        <v>15.384615384615385</v>
      </c>
      <c r="J42" s="9">
        <v>123</v>
      </c>
      <c r="K42" s="9">
        <v>48</v>
      </c>
      <c r="L42" s="10">
        <f t="shared" si="2"/>
        <v>39.024390243902438</v>
      </c>
      <c r="M42" s="9"/>
      <c r="N42" s="9">
        <v>302</v>
      </c>
      <c r="O42" s="7" t="e">
        <f t="shared" si="3"/>
        <v>#DIV/0!</v>
      </c>
    </row>
    <row r="43" spans="1:15" ht="16.5" x14ac:dyDescent="0.45">
      <c r="A43" s="16" t="s">
        <v>39</v>
      </c>
      <c r="B43" s="17"/>
      <c r="C43" s="17">
        <v>6</v>
      </c>
      <c r="D43" s="11">
        <v>259</v>
      </c>
      <c r="E43" s="9">
        <v>54</v>
      </c>
      <c r="F43" s="10">
        <f t="shared" si="0"/>
        <v>20.849420849420849</v>
      </c>
      <c r="G43" s="11">
        <v>259</v>
      </c>
      <c r="H43" s="9">
        <v>57</v>
      </c>
      <c r="I43" s="12">
        <f t="shared" si="1"/>
        <v>22.007722007722009</v>
      </c>
      <c r="J43" s="9">
        <v>208</v>
      </c>
      <c r="K43" s="9">
        <v>38</v>
      </c>
      <c r="L43" s="10">
        <f t="shared" si="2"/>
        <v>18.269230769230766</v>
      </c>
      <c r="M43" s="9"/>
      <c r="N43" s="9">
        <v>304</v>
      </c>
      <c r="O43" s="7" t="e">
        <f t="shared" si="3"/>
        <v>#DIV/0!</v>
      </c>
    </row>
    <row r="44" spans="1:15" ht="29" x14ac:dyDescent="0.45">
      <c r="A44" s="16" t="s">
        <v>40</v>
      </c>
      <c r="B44" s="17"/>
      <c r="C44" s="17">
        <v>0</v>
      </c>
      <c r="D44" s="11">
        <v>36</v>
      </c>
      <c r="E44" s="9">
        <v>4</v>
      </c>
      <c r="F44" s="10">
        <f t="shared" si="0"/>
        <v>11.111111111111111</v>
      </c>
      <c r="G44" s="11">
        <v>36</v>
      </c>
      <c r="H44" s="9">
        <v>3</v>
      </c>
      <c r="I44" s="12">
        <f t="shared" si="1"/>
        <v>8.3333333333333321</v>
      </c>
      <c r="J44" s="9">
        <v>36</v>
      </c>
      <c r="K44" s="9">
        <v>11</v>
      </c>
      <c r="L44" s="10">
        <f t="shared" si="2"/>
        <v>30.555555555555557</v>
      </c>
      <c r="M44" s="9"/>
      <c r="N44" s="9">
        <v>0</v>
      </c>
      <c r="O44" s="7" t="e">
        <f t="shared" si="3"/>
        <v>#DIV/0!</v>
      </c>
    </row>
    <row r="45" spans="1:15" ht="29" x14ac:dyDescent="0.45">
      <c r="A45" s="16" t="s">
        <v>41</v>
      </c>
      <c r="B45" s="17"/>
      <c r="C45" s="17">
        <v>9</v>
      </c>
      <c r="D45" s="11">
        <v>129</v>
      </c>
      <c r="E45" s="9">
        <v>32</v>
      </c>
      <c r="F45" s="10">
        <f t="shared" si="0"/>
        <v>24.806201550387598</v>
      </c>
      <c r="G45" s="11">
        <v>129</v>
      </c>
      <c r="H45" s="9">
        <v>49</v>
      </c>
      <c r="I45" s="12">
        <f t="shared" si="1"/>
        <v>37.984496124031011</v>
      </c>
      <c r="J45" s="9">
        <v>153</v>
      </c>
      <c r="K45" s="9">
        <v>53</v>
      </c>
      <c r="L45" s="10">
        <f t="shared" si="2"/>
        <v>34.640522875816991</v>
      </c>
      <c r="M45" s="9"/>
      <c r="N45" s="9">
        <v>400</v>
      </c>
      <c r="O45" s="7" t="e">
        <f t="shared" si="3"/>
        <v>#DIV/0!</v>
      </c>
    </row>
    <row r="46" spans="1:15" x14ac:dyDescent="0.35">
      <c r="A46" s="40" t="s">
        <v>50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x14ac:dyDescent="0.35">
      <c r="A47" s="34" t="s">
        <v>51</v>
      </c>
      <c r="B47" s="34"/>
      <c r="C47" s="34"/>
      <c r="D47" s="34"/>
      <c r="E47" s="34"/>
    </row>
    <row r="48" spans="1:15" x14ac:dyDescent="0.35">
      <c r="A48" s="35" t="s">
        <v>52</v>
      </c>
      <c r="B48" s="35"/>
      <c r="C48" s="35"/>
      <c r="D48" s="35"/>
      <c r="E48" s="35"/>
    </row>
  </sheetData>
  <mergeCells count="8">
    <mergeCell ref="A46:L46"/>
    <mergeCell ref="A47:E47"/>
    <mergeCell ref="A48:E48"/>
    <mergeCell ref="A1:O1"/>
    <mergeCell ref="A2:O3"/>
    <mergeCell ref="A4:O4"/>
    <mergeCell ref="A5:L5"/>
    <mergeCell ref="M5:O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8"/>
  <sheetViews>
    <sheetView workbookViewId="0">
      <selection activeCell="M36" sqref="M36"/>
    </sheetView>
  </sheetViews>
  <sheetFormatPr baseColWidth="10" defaultRowHeight="14.5" x14ac:dyDescent="0.35"/>
  <sheetData>
    <row r="1" spans="1:15" ht="23.5" x14ac:dyDescent="0.55000000000000004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x14ac:dyDescent="0.35">
      <c r="A2" s="37" t="s">
        <v>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8.5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2" t="s">
        <v>49</v>
      </c>
      <c r="N5" s="42"/>
      <c r="O5" s="42"/>
    </row>
    <row r="6" spans="1:15" ht="43.5" x14ac:dyDescent="0.35">
      <c r="A6" s="5" t="s">
        <v>2</v>
      </c>
      <c r="B6" s="5" t="s">
        <v>42</v>
      </c>
      <c r="C6" s="6" t="s">
        <v>54</v>
      </c>
      <c r="D6" s="5" t="s">
        <v>42</v>
      </c>
      <c r="E6" s="6" t="s">
        <v>45</v>
      </c>
      <c r="F6" s="6" t="s">
        <v>44</v>
      </c>
      <c r="G6" s="5" t="s">
        <v>42</v>
      </c>
      <c r="H6" s="6" t="s">
        <v>46</v>
      </c>
      <c r="I6" s="6" t="s">
        <v>44</v>
      </c>
      <c r="J6" s="5" t="s">
        <v>42</v>
      </c>
      <c r="K6" s="6" t="s">
        <v>43</v>
      </c>
      <c r="L6" s="5" t="s">
        <v>44</v>
      </c>
      <c r="M6" s="5" t="s">
        <v>42</v>
      </c>
      <c r="N6" s="6" t="s">
        <v>48</v>
      </c>
      <c r="O6" s="5" t="s">
        <v>44</v>
      </c>
    </row>
    <row r="7" spans="1:15" ht="16.5" x14ac:dyDescent="0.45">
      <c r="A7" s="13" t="s">
        <v>3</v>
      </c>
      <c r="B7" s="17"/>
      <c r="C7" s="18">
        <v>731</v>
      </c>
      <c r="D7" s="11">
        <v>8431</v>
      </c>
      <c r="E7" s="7">
        <v>2257</v>
      </c>
      <c r="F7" s="10">
        <f t="shared" ref="F7:F45" si="0">SUM(E7/D7*100)</f>
        <v>26.770252639070097</v>
      </c>
      <c r="G7" s="11">
        <v>8431</v>
      </c>
      <c r="H7" s="8">
        <v>1626</v>
      </c>
      <c r="I7" s="12">
        <f>SUM(H7/G7*100)</f>
        <v>19.285968449768713</v>
      </c>
      <c r="J7" s="8">
        <v>10719</v>
      </c>
      <c r="K7" s="8">
        <v>2027</v>
      </c>
      <c r="L7" s="10">
        <f>SUM(K7/J7*100)</f>
        <v>18.910346114376342</v>
      </c>
      <c r="M7" s="8"/>
      <c r="N7" s="8">
        <v>11438</v>
      </c>
      <c r="O7" s="7" t="e">
        <f>SUM(N7/M7*100)</f>
        <v>#DIV/0!</v>
      </c>
    </row>
    <row r="8" spans="1:15" ht="29" x14ac:dyDescent="0.45">
      <c r="A8" s="13" t="s">
        <v>4</v>
      </c>
      <c r="B8" s="17"/>
      <c r="C8" s="17">
        <v>27</v>
      </c>
      <c r="D8" s="11">
        <v>576</v>
      </c>
      <c r="E8" s="9">
        <v>170</v>
      </c>
      <c r="F8" s="10">
        <f t="shared" si="0"/>
        <v>29.513888888888889</v>
      </c>
      <c r="G8" s="11">
        <v>576</v>
      </c>
      <c r="H8" s="9">
        <v>155</v>
      </c>
      <c r="I8" s="12">
        <f t="shared" ref="I8:I45" si="1">SUM(H8/G8*100)</f>
        <v>26.909722222222221</v>
      </c>
      <c r="J8" s="9">
        <v>657</v>
      </c>
      <c r="K8" s="9">
        <v>190</v>
      </c>
      <c r="L8" s="10">
        <f t="shared" ref="L8:L45" si="2">SUM(K8/J8*100)</f>
        <v>28.919330289193301</v>
      </c>
      <c r="M8" s="9"/>
      <c r="N8" s="9">
        <v>657</v>
      </c>
      <c r="O8" s="7" t="e">
        <f t="shared" ref="O8:O45" si="3">SUM(N8/M8*100)</f>
        <v>#DIV/0!</v>
      </c>
    </row>
    <row r="9" spans="1:15" ht="16.5" x14ac:dyDescent="0.45">
      <c r="A9" s="13" t="s">
        <v>5</v>
      </c>
      <c r="B9" s="17"/>
      <c r="C9" s="17">
        <v>76</v>
      </c>
      <c r="D9" s="11">
        <v>1425</v>
      </c>
      <c r="E9" s="9">
        <v>275</v>
      </c>
      <c r="F9" s="10">
        <f>SUM(E9/D9*100)</f>
        <v>19.298245614035086</v>
      </c>
      <c r="G9" s="11">
        <v>1425</v>
      </c>
      <c r="H9" s="9">
        <v>210</v>
      </c>
      <c r="I9" s="12">
        <f t="shared" si="1"/>
        <v>14.736842105263156</v>
      </c>
      <c r="J9" s="9">
        <v>1082</v>
      </c>
      <c r="K9" s="9">
        <v>247</v>
      </c>
      <c r="L9" s="10">
        <f t="shared" si="2"/>
        <v>22.828096118299445</v>
      </c>
      <c r="M9" s="9"/>
      <c r="N9" s="9">
        <v>1398</v>
      </c>
      <c r="O9" s="7" t="e">
        <f t="shared" si="3"/>
        <v>#DIV/0!</v>
      </c>
    </row>
    <row r="10" spans="1:15" ht="29" x14ac:dyDescent="0.45">
      <c r="A10" s="13" t="s">
        <v>6</v>
      </c>
      <c r="B10" s="17"/>
      <c r="C10" s="17">
        <v>8</v>
      </c>
      <c r="D10" s="11">
        <v>488</v>
      </c>
      <c r="E10" s="9">
        <v>61</v>
      </c>
      <c r="F10" s="10">
        <f>SUM(E10/D10*100)</f>
        <v>12.5</v>
      </c>
      <c r="G10" s="11">
        <v>488</v>
      </c>
      <c r="H10" s="9">
        <v>77</v>
      </c>
      <c r="I10" s="12">
        <f t="shared" si="1"/>
        <v>15.778688524590164</v>
      </c>
      <c r="J10" s="9">
        <v>514</v>
      </c>
      <c r="K10" s="9">
        <v>102</v>
      </c>
      <c r="L10" s="10">
        <f t="shared" si="2"/>
        <v>19.844357976653697</v>
      </c>
      <c r="M10" s="9"/>
      <c r="N10" s="9">
        <v>383</v>
      </c>
      <c r="O10" s="7" t="e">
        <f t="shared" si="3"/>
        <v>#DIV/0!</v>
      </c>
    </row>
    <row r="11" spans="1:15" ht="29" x14ac:dyDescent="0.45">
      <c r="A11" s="13" t="s">
        <v>7</v>
      </c>
      <c r="B11" s="17"/>
      <c r="C11" s="17">
        <v>23</v>
      </c>
      <c r="D11" s="11">
        <v>224</v>
      </c>
      <c r="E11" s="9">
        <v>31</v>
      </c>
      <c r="F11" s="10">
        <f t="shared" si="0"/>
        <v>13.839285714285715</v>
      </c>
      <c r="G11" s="11">
        <v>224</v>
      </c>
      <c r="H11" s="9">
        <v>59</v>
      </c>
      <c r="I11" s="12">
        <f t="shared" si="1"/>
        <v>26.339285714285715</v>
      </c>
      <c r="J11" s="9">
        <v>243</v>
      </c>
      <c r="K11" s="9">
        <v>120</v>
      </c>
      <c r="L11" s="10">
        <f t="shared" si="2"/>
        <v>49.382716049382715</v>
      </c>
      <c r="M11" s="9"/>
      <c r="N11" s="9">
        <v>211</v>
      </c>
      <c r="O11" s="7" t="e">
        <f t="shared" si="3"/>
        <v>#DIV/0!</v>
      </c>
    </row>
    <row r="12" spans="1:15" ht="16.5" x14ac:dyDescent="0.45">
      <c r="A12" s="13" t="s">
        <v>8</v>
      </c>
      <c r="B12" s="17"/>
      <c r="C12" s="17">
        <v>9</v>
      </c>
      <c r="D12" s="11">
        <v>135</v>
      </c>
      <c r="E12" s="9">
        <v>44</v>
      </c>
      <c r="F12" s="10">
        <f t="shared" si="0"/>
        <v>32.592592592592595</v>
      </c>
      <c r="G12" s="11">
        <v>135</v>
      </c>
      <c r="H12" s="9">
        <v>35</v>
      </c>
      <c r="I12" s="12">
        <f t="shared" si="1"/>
        <v>25.925925925925924</v>
      </c>
      <c r="J12" s="9">
        <v>190</v>
      </c>
      <c r="K12" s="9">
        <v>62</v>
      </c>
      <c r="L12" s="10">
        <f t="shared" si="2"/>
        <v>32.631578947368425</v>
      </c>
      <c r="M12" s="9"/>
      <c r="N12" s="9">
        <v>395</v>
      </c>
      <c r="O12" s="7" t="e">
        <f t="shared" si="3"/>
        <v>#DIV/0!</v>
      </c>
    </row>
    <row r="13" spans="1:15" ht="29" x14ac:dyDescent="0.45">
      <c r="A13" s="13" t="s">
        <v>9</v>
      </c>
      <c r="B13" s="17"/>
      <c r="C13" s="17">
        <v>65</v>
      </c>
      <c r="D13" s="11">
        <v>1283</v>
      </c>
      <c r="E13" s="9">
        <v>212</v>
      </c>
      <c r="F13" s="10">
        <f t="shared" si="0"/>
        <v>16.52377240841777</v>
      </c>
      <c r="G13" s="11">
        <v>1283</v>
      </c>
      <c r="H13" s="9">
        <v>165</v>
      </c>
      <c r="I13" s="12">
        <f t="shared" si="1"/>
        <v>12.860483242400624</v>
      </c>
      <c r="J13" s="9">
        <v>1399</v>
      </c>
      <c r="K13" s="9">
        <v>221</v>
      </c>
      <c r="L13" s="10">
        <f t="shared" si="2"/>
        <v>15.796997855611149</v>
      </c>
      <c r="M13" s="9"/>
      <c r="N13" s="9">
        <v>1060</v>
      </c>
      <c r="O13" s="7" t="e">
        <f t="shared" si="3"/>
        <v>#DIV/0!</v>
      </c>
    </row>
    <row r="14" spans="1:15" ht="16.5" x14ac:dyDescent="0.45">
      <c r="A14" s="13" t="s">
        <v>10</v>
      </c>
      <c r="B14" s="17"/>
      <c r="C14" s="17">
        <v>6</v>
      </c>
      <c r="D14" s="11">
        <v>581</v>
      </c>
      <c r="E14" s="9">
        <v>84</v>
      </c>
      <c r="F14" s="10">
        <f t="shared" si="0"/>
        <v>14.457831325301203</v>
      </c>
      <c r="G14" s="11">
        <v>581</v>
      </c>
      <c r="H14" s="9">
        <v>96</v>
      </c>
      <c r="I14" s="12">
        <f t="shared" si="1"/>
        <v>16.523235800344235</v>
      </c>
      <c r="J14" s="9">
        <v>608</v>
      </c>
      <c r="K14" s="9">
        <v>91</v>
      </c>
      <c r="L14" s="10">
        <f t="shared" si="2"/>
        <v>14.967105263157896</v>
      </c>
      <c r="M14" s="9"/>
      <c r="N14" s="9">
        <v>1020</v>
      </c>
      <c r="O14" s="7" t="e">
        <f t="shared" si="3"/>
        <v>#DIV/0!</v>
      </c>
    </row>
    <row r="15" spans="1:15" ht="16.5" x14ac:dyDescent="0.45">
      <c r="A15" s="13" t="s">
        <v>11</v>
      </c>
      <c r="B15" s="17"/>
      <c r="C15" s="17">
        <v>27</v>
      </c>
      <c r="D15" s="11">
        <v>166</v>
      </c>
      <c r="E15" s="9">
        <v>21</v>
      </c>
      <c r="F15" s="10">
        <f t="shared" si="0"/>
        <v>12.650602409638553</v>
      </c>
      <c r="G15" s="11">
        <v>166</v>
      </c>
      <c r="H15" s="9">
        <v>39</v>
      </c>
      <c r="I15" s="12">
        <f t="shared" si="1"/>
        <v>23.493975903614459</v>
      </c>
      <c r="J15" s="9">
        <v>177</v>
      </c>
      <c r="K15" s="9">
        <v>54</v>
      </c>
      <c r="L15" s="10">
        <f t="shared" si="2"/>
        <v>30.508474576271187</v>
      </c>
      <c r="M15" s="9"/>
      <c r="N15" s="9">
        <v>290</v>
      </c>
      <c r="O15" s="7" t="e">
        <f t="shared" si="3"/>
        <v>#DIV/0!</v>
      </c>
    </row>
    <row r="16" spans="1:15" ht="16.5" x14ac:dyDescent="0.45">
      <c r="A16" s="13" t="s">
        <v>12</v>
      </c>
      <c r="B16" s="17"/>
      <c r="C16" s="17">
        <v>54</v>
      </c>
      <c r="D16" s="11">
        <v>952</v>
      </c>
      <c r="E16" s="9">
        <v>91</v>
      </c>
      <c r="F16" s="10">
        <f t="shared" si="0"/>
        <v>9.5588235294117645</v>
      </c>
      <c r="G16" s="11">
        <v>952</v>
      </c>
      <c r="H16" s="9">
        <v>92</v>
      </c>
      <c r="I16" s="12">
        <f t="shared" si="1"/>
        <v>9.6638655462184886</v>
      </c>
      <c r="J16" s="9">
        <v>851</v>
      </c>
      <c r="K16" s="9">
        <v>165</v>
      </c>
      <c r="L16" s="10">
        <f t="shared" si="2"/>
        <v>19.388954171562865</v>
      </c>
      <c r="M16" s="9"/>
      <c r="N16" s="9">
        <v>1938</v>
      </c>
      <c r="O16" s="7" t="e">
        <f t="shared" si="3"/>
        <v>#DIV/0!</v>
      </c>
    </row>
    <row r="17" spans="1:15" ht="29" x14ac:dyDescent="0.45">
      <c r="A17" s="13" t="s">
        <v>13</v>
      </c>
      <c r="B17" s="17"/>
      <c r="C17" s="17">
        <v>9</v>
      </c>
      <c r="D17" s="11">
        <v>403</v>
      </c>
      <c r="E17" s="9">
        <v>140</v>
      </c>
      <c r="F17" s="10">
        <f t="shared" si="0"/>
        <v>34.739454094292803</v>
      </c>
      <c r="G17" s="11">
        <v>403</v>
      </c>
      <c r="H17" s="9">
        <v>96</v>
      </c>
      <c r="I17" s="12">
        <f t="shared" si="1"/>
        <v>23.821339950372209</v>
      </c>
      <c r="J17" s="9">
        <v>254</v>
      </c>
      <c r="K17" s="9">
        <v>113</v>
      </c>
      <c r="L17" s="10">
        <f t="shared" si="2"/>
        <v>44.488188976377948</v>
      </c>
      <c r="M17" s="9"/>
      <c r="N17" s="9">
        <v>414</v>
      </c>
      <c r="O17" s="7" t="e">
        <f t="shared" si="3"/>
        <v>#DIV/0!</v>
      </c>
    </row>
    <row r="18" spans="1:15" ht="16.5" x14ac:dyDescent="0.45">
      <c r="A18" s="14" t="s">
        <v>14</v>
      </c>
      <c r="B18" s="17"/>
      <c r="C18" s="17">
        <v>1</v>
      </c>
      <c r="D18" s="11">
        <v>643</v>
      </c>
      <c r="E18" s="9">
        <v>162</v>
      </c>
      <c r="F18" s="10">
        <f t="shared" si="0"/>
        <v>25.194401244167963</v>
      </c>
      <c r="G18" s="11">
        <v>643</v>
      </c>
      <c r="H18" s="9">
        <v>111</v>
      </c>
      <c r="I18" s="12">
        <f t="shared" si="1"/>
        <v>17.262830482115085</v>
      </c>
      <c r="J18" s="9">
        <v>843</v>
      </c>
      <c r="K18" s="9">
        <v>129</v>
      </c>
      <c r="L18" s="10">
        <f t="shared" si="2"/>
        <v>15.302491103202847</v>
      </c>
      <c r="M18" s="9"/>
      <c r="N18" s="9">
        <v>727</v>
      </c>
      <c r="O18" s="7" t="e">
        <f t="shared" si="3"/>
        <v>#DIV/0!</v>
      </c>
    </row>
    <row r="19" spans="1:15" ht="43.5" x14ac:dyDescent="0.45">
      <c r="A19" s="14" t="s">
        <v>15</v>
      </c>
      <c r="B19" s="17"/>
      <c r="C19" s="17">
        <v>0</v>
      </c>
      <c r="D19" s="11">
        <v>236</v>
      </c>
      <c r="E19" s="9">
        <v>58</v>
      </c>
      <c r="F19" s="10">
        <f t="shared" si="0"/>
        <v>24.576271186440678</v>
      </c>
      <c r="G19" s="11">
        <v>236</v>
      </c>
      <c r="H19" s="9">
        <v>61</v>
      </c>
      <c r="I19" s="12">
        <f t="shared" si="1"/>
        <v>25.847457627118644</v>
      </c>
      <c r="J19" s="9">
        <v>231</v>
      </c>
      <c r="K19" s="9">
        <v>73</v>
      </c>
      <c r="L19" s="10">
        <f t="shared" si="2"/>
        <v>31.601731601731604</v>
      </c>
      <c r="M19" s="9"/>
      <c r="N19" s="9">
        <v>560</v>
      </c>
      <c r="O19" s="7" t="e">
        <f t="shared" si="3"/>
        <v>#DIV/0!</v>
      </c>
    </row>
    <row r="20" spans="1:15" ht="29" x14ac:dyDescent="0.45">
      <c r="A20" s="14" t="s">
        <v>16</v>
      </c>
      <c r="B20" s="17"/>
      <c r="C20" s="17">
        <v>188</v>
      </c>
      <c r="D20" s="11">
        <v>5736</v>
      </c>
      <c r="E20" s="9">
        <v>1081</v>
      </c>
      <c r="F20" s="10">
        <f t="shared" si="0"/>
        <v>18.845885634588562</v>
      </c>
      <c r="G20" s="11">
        <v>5736</v>
      </c>
      <c r="H20" s="9">
        <v>820</v>
      </c>
      <c r="I20" s="12">
        <f t="shared" si="1"/>
        <v>14.295676429567644</v>
      </c>
      <c r="J20" s="9">
        <v>6878</v>
      </c>
      <c r="K20" s="9">
        <v>839</v>
      </c>
      <c r="L20" s="10">
        <f t="shared" si="2"/>
        <v>12.198313463216051</v>
      </c>
      <c r="M20" s="9"/>
      <c r="N20" s="9">
        <v>4671</v>
      </c>
      <c r="O20" s="7" t="e">
        <f t="shared" si="3"/>
        <v>#DIV/0!</v>
      </c>
    </row>
    <row r="21" spans="1:15" ht="16.5" x14ac:dyDescent="0.45">
      <c r="A21" s="14" t="s">
        <v>17</v>
      </c>
      <c r="B21" s="17"/>
      <c r="C21" s="17">
        <v>36</v>
      </c>
      <c r="D21" s="11">
        <v>2230</v>
      </c>
      <c r="E21" s="9">
        <v>563</v>
      </c>
      <c r="F21" s="10">
        <f t="shared" si="0"/>
        <v>25.246636771300444</v>
      </c>
      <c r="G21" s="11">
        <v>2230</v>
      </c>
      <c r="H21" s="9">
        <v>846</v>
      </c>
      <c r="I21" s="12">
        <f t="shared" si="1"/>
        <v>37.937219730941699</v>
      </c>
      <c r="J21" s="9">
        <v>2609</v>
      </c>
      <c r="K21" s="9">
        <v>611</v>
      </c>
      <c r="L21" s="10">
        <f t="shared" si="2"/>
        <v>23.418934457646611</v>
      </c>
      <c r="M21" s="9"/>
      <c r="N21" s="9">
        <v>4729</v>
      </c>
      <c r="O21" s="7" t="e">
        <f t="shared" si="3"/>
        <v>#DIV/0!</v>
      </c>
    </row>
    <row r="22" spans="1:15" ht="16.5" x14ac:dyDescent="0.45">
      <c r="A22" s="14" t="s">
        <v>18</v>
      </c>
      <c r="B22" s="17"/>
      <c r="C22" s="17">
        <v>0</v>
      </c>
      <c r="D22" s="11">
        <v>543</v>
      </c>
      <c r="E22" s="9">
        <v>127</v>
      </c>
      <c r="F22" s="10">
        <f t="shared" si="0"/>
        <v>23.388581952117864</v>
      </c>
      <c r="G22" s="11">
        <v>543</v>
      </c>
      <c r="H22" s="9">
        <v>117</v>
      </c>
      <c r="I22" s="12">
        <f t="shared" si="1"/>
        <v>21.546961325966851</v>
      </c>
      <c r="J22" s="9">
        <v>634</v>
      </c>
      <c r="K22" s="9">
        <v>174</v>
      </c>
      <c r="L22" s="10">
        <f t="shared" si="2"/>
        <v>27.444794952681388</v>
      </c>
      <c r="M22" s="9"/>
      <c r="N22" s="9">
        <v>1324</v>
      </c>
      <c r="O22" s="7" t="e">
        <f t="shared" si="3"/>
        <v>#DIV/0!</v>
      </c>
    </row>
    <row r="23" spans="1:15" ht="16.5" x14ac:dyDescent="0.45">
      <c r="A23" s="14" t="s">
        <v>19</v>
      </c>
      <c r="B23" s="17"/>
      <c r="C23" s="17">
        <v>0</v>
      </c>
      <c r="D23" s="11">
        <v>284</v>
      </c>
      <c r="E23" s="9">
        <v>77</v>
      </c>
      <c r="F23" s="10">
        <f t="shared" si="0"/>
        <v>27.112676056338032</v>
      </c>
      <c r="G23" s="11">
        <v>284</v>
      </c>
      <c r="H23" s="9">
        <v>70</v>
      </c>
      <c r="I23" s="12">
        <f t="shared" si="1"/>
        <v>24.647887323943664</v>
      </c>
      <c r="J23" s="9">
        <v>376</v>
      </c>
      <c r="K23" s="9">
        <v>132</v>
      </c>
      <c r="L23" s="10">
        <f t="shared" si="2"/>
        <v>35.106382978723403</v>
      </c>
      <c r="M23" s="9"/>
      <c r="N23" s="9">
        <v>745</v>
      </c>
      <c r="O23" s="7" t="e">
        <f t="shared" si="3"/>
        <v>#DIV/0!</v>
      </c>
    </row>
    <row r="24" spans="1:15" ht="29" x14ac:dyDescent="0.45">
      <c r="A24" s="14" t="s">
        <v>20</v>
      </c>
      <c r="B24" s="17"/>
      <c r="C24" s="17">
        <v>2</v>
      </c>
      <c r="D24" s="11">
        <v>220</v>
      </c>
      <c r="E24" s="9">
        <v>42</v>
      </c>
      <c r="F24" s="10">
        <f t="shared" si="0"/>
        <v>19.090909090909093</v>
      </c>
      <c r="G24" s="11">
        <v>220</v>
      </c>
      <c r="H24" s="9">
        <v>70</v>
      </c>
      <c r="I24" s="12">
        <f t="shared" si="1"/>
        <v>31.818181818181817</v>
      </c>
      <c r="J24" s="9">
        <v>212</v>
      </c>
      <c r="K24" s="9">
        <v>136</v>
      </c>
      <c r="L24" s="10">
        <f t="shared" si="2"/>
        <v>64.15094339622641</v>
      </c>
      <c r="M24" s="9"/>
      <c r="N24" s="9">
        <v>158</v>
      </c>
      <c r="O24" s="7" t="e">
        <f t="shared" si="3"/>
        <v>#DIV/0!</v>
      </c>
    </row>
    <row r="25" spans="1:15" ht="29" x14ac:dyDescent="0.45">
      <c r="A25" s="14" t="s">
        <v>21</v>
      </c>
      <c r="B25" s="17"/>
      <c r="C25" s="17">
        <v>0</v>
      </c>
      <c r="D25" s="11">
        <v>228</v>
      </c>
      <c r="E25" s="9">
        <v>39</v>
      </c>
      <c r="F25" s="10">
        <f t="shared" si="0"/>
        <v>17.105263157894736</v>
      </c>
      <c r="G25" s="11">
        <v>228</v>
      </c>
      <c r="H25" s="9">
        <v>32</v>
      </c>
      <c r="I25" s="12">
        <f t="shared" si="1"/>
        <v>14.035087719298245</v>
      </c>
      <c r="J25" s="9">
        <v>219</v>
      </c>
      <c r="K25" s="9">
        <v>51</v>
      </c>
      <c r="L25" s="10">
        <f t="shared" si="2"/>
        <v>23.287671232876711</v>
      </c>
      <c r="M25" s="9"/>
      <c r="N25" s="9">
        <v>330</v>
      </c>
      <c r="O25" s="7" t="e">
        <f t="shared" si="3"/>
        <v>#DIV/0!</v>
      </c>
    </row>
    <row r="26" spans="1:15" ht="29" x14ac:dyDescent="0.45">
      <c r="A26" s="14" t="s">
        <v>22</v>
      </c>
      <c r="B26" s="17"/>
      <c r="C26" s="17">
        <v>0</v>
      </c>
      <c r="D26" s="11">
        <v>33</v>
      </c>
      <c r="E26" s="9">
        <v>21</v>
      </c>
      <c r="F26" s="10">
        <f t="shared" si="0"/>
        <v>63.636363636363633</v>
      </c>
      <c r="G26" s="11">
        <v>33</v>
      </c>
      <c r="H26" s="9">
        <v>7</v>
      </c>
      <c r="I26" s="12">
        <f t="shared" si="1"/>
        <v>21.212121212121211</v>
      </c>
      <c r="J26" s="9">
        <v>38</v>
      </c>
      <c r="K26" s="9">
        <v>4</v>
      </c>
      <c r="L26" s="10">
        <f t="shared" si="2"/>
        <v>10.526315789473683</v>
      </c>
      <c r="M26" s="9"/>
      <c r="N26" s="9">
        <v>200</v>
      </c>
      <c r="O26" s="7" t="e">
        <f t="shared" si="3"/>
        <v>#DIV/0!</v>
      </c>
    </row>
    <row r="27" spans="1:15" ht="29" x14ac:dyDescent="0.45">
      <c r="A27" s="14" t="s">
        <v>23</v>
      </c>
      <c r="B27" s="17"/>
      <c r="C27" s="17">
        <v>0</v>
      </c>
      <c r="D27" s="11">
        <v>38</v>
      </c>
      <c r="E27" s="9">
        <v>10</v>
      </c>
      <c r="F27" s="10">
        <f t="shared" si="0"/>
        <v>26.315789473684209</v>
      </c>
      <c r="G27" s="11">
        <v>38</v>
      </c>
      <c r="H27" s="9">
        <v>5</v>
      </c>
      <c r="I27" s="12">
        <f t="shared" si="1"/>
        <v>13.157894736842104</v>
      </c>
      <c r="J27" s="9">
        <v>41</v>
      </c>
      <c r="K27" s="9">
        <v>9</v>
      </c>
      <c r="L27" s="10">
        <f t="shared" si="2"/>
        <v>21.951219512195124</v>
      </c>
      <c r="M27" s="9"/>
      <c r="N27" s="9">
        <v>130</v>
      </c>
      <c r="O27" s="7" t="e">
        <f t="shared" si="3"/>
        <v>#DIV/0!</v>
      </c>
    </row>
    <row r="28" spans="1:15" ht="16.5" x14ac:dyDescent="0.45">
      <c r="A28" s="14" t="s">
        <v>24</v>
      </c>
      <c r="B28" s="17"/>
      <c r="C28" s="17">
        <v>0</v>
      </c>
      <c r="D28" s="11">
        <v>130</v>
      </c>
      <c r="E28" s="9">
        <v>15</v>
      </c>
      <c r="F28" s="10">
        <f t="shared" si="0"/>
        <v>11.538461538461538</v>
      </c>
      <c r="G28" s="11">
        <v>130</v>
      </c>
      <c r="H28" s="9">
        <v>41</v>
      </c>
      <c r="I28" s="12">
        <f t="shared" si="1"/>
        <v>31.538461538461537</v>
      </c>
      <c r="J28" s="9">
        <v>140</v>
      </c>
      <c r="K28" s="9">
        <v>43</v>
      </c>
      <c r="L28" s="10">
        <f t="shared" si="2"/>
        <v>30.714285714285715</v>
      </c>
      <c r="M28" s="9"/>
      <c r="N28" s="9">
        <v>191</v>
      </c>
      <c r="O28" s="7" t="e">
        <f t="shared" si="3"/>
        <v>#DIV/0!</v>
      </c>
    </row>
    <row r="29" spans="1:15" ht="16.5" x14ac:dyDescent="0.45">
      <c r="A29" s="14" t="s">
        <v>25</v>
      </c>
      <c r="B29" s="17"/>
      <c r="C29" s="17">
        <v>0</v>
      </c>
      <c r="D29" s="11">
        <v>278</v>
      </c>
      <c r="E29" s="9">
        <v>91</v>
      </c>
      <c r="F29" s="10">
        <f t="shared" si="0"/>
        <v>32.733812949640289</v>
      </c>
      <c r="G29" s="11">
        <v>278</v>
      </c>
      <c r="H29" s="9">
        <v>96</v>
      </c>
      <c r="I29" s="12">
        <f t="shared" si="1"/>
        <v>34.532374100719423</v>
      </c>
      <c r="J29" s="9">
        <v>348</v>
      </c>
      <c r="K29" s="9">
        <v>147</v>
      </c>
      <c r="L29" s="10">
        <f t="shared" si="2"/>
        <v>42.241379310344826</v>
      </c>
      <c r="M29" s="9"/>
      <c r="N29" s="9">
        <v>165</v>
      </c>
      <c r="O29" s="7" t="e">
        <f t="shared" si="3"/>
        <v>#DIV/0!</v>
      </c>
    </row>
    <row r="30" spans="1:15" ht="16.5" x14ac:dyDescent="0.45">
      <c r="A30" s="15" t="s">
        <v>26</v>
      </c>
      <c r="B30" s="17"/>
      <c r="C30" s="17">
        <v>25</v>
      </c>
      <c r="D30" s="11">
        <v>499</v>
      </c>
      <c r="E30" s="9">
        <v>104</v>
      </c>
      <c r="F30" s="10">
        <f t="shared" si="0"/>
        <v>20.841683366733466</v>
      </c>
      <c r="G30" s="11">
        <v>499</v>
      </c>
      <c r="H30" s="9">
        <v>86</v>
      </c>
      <c r="I30" s="12">
        <f t="shared" si="1"/>
        <v>17.234468937875754</v>
      </c>
      <c r="J30" s="9">
        <v>560</v>
      </c>
      <c r="K30" s="9">
        <v>137</v>
      </c>
      <c r="L30" s="10">
        <f t="shared" si="2"/>
        <v>24.464285714285712</v>
      </c>
      <c r="M30" s="9"/>
      <c r="N30" s="9">
        <v>547</v>
      </c>
      <c r="O30" s="7" t="e">
        <f t="shared" si="3"/>
        <v>#DIV/0!</v>
      </c>
    </row>
    <row r="31" spans="1:15" ht="16.5" x14ac:dyDescent="0.45">
      <c r="A31" s="15" t="s">
        <v>27</v>
      </c>
      <c r="B31" s="17"/>
      <c r="C31" s="17">
        <v>0</v>
      </c>
      <c r="D31" s="11">
        <v>54</v>
      </c>
      <c r="E31" s="9">
        <v>10</v>
      </c>
      <c r="F31" s="10">
        <f t="shared" si="0"/>
        <v>18.518518518518519</v>
      </c>
      <c r="G31" s="11">
        <v>54</v>
      </c>
      <c r="H31" s="9">
        <v>21</v>
      </c>
      <c r="I31" s="12">
        <f t="shared" si="1"/>
        <v>38.888888888888893</v>
      </c>
      <c r="J31" s="9">
        <v>51</v>
      </c>
      <c r="K31" s="9">
        <v>27</v>
      </c>
      <c r="L31" s="10">
        <f t="shared" si="2"/>
        <v>52.941176470588239</v>
      </c>
      <c r="M31" s="9"/>
      <c r="N31" s="9">
        <v>31</v>
      </c>
      <c r="O31" s="7" t="e">
        <f t="shared" si="3"/>
        <v>#DIV/0!</v>
      </c>
    </row>
    <row r="32" spans="1:15" ht="16.5" x14ac:dyDescent="0.45">
      <c r="A32" s="15" t="s">
        <v>28</v>
      </c>
      <c r="B32" s="17"/>
      <c r="C32" s="17">
        <v>0</v>
      </c>
      <c r="D32" s="11">
        <v>137</v>
      </c>
      <c r="E32" s="9">
        <v>24</v>
      </c>
      <c r="F32" s="10">
        <f t="shared" si="0"/>
        <v>17.518248175182482</v>
      </c>
      <c r="G32" s="11">
        <v>137</v>
      </c>
      <c r="H32" s="9">
        <v>18</v>
      </c>
      <c r="I32" s="12">
        <f t="shared" si="1"/>
        <v>13.138686131386862</v>
      </c>
      <c r="J32" s="9">
        <v>184</v>
      </c>
      <c r="K32" s="9">
        <v>14</v>
      </c>
      <c r="L32" s="10">
        <f t="shared" si="2"/>
        <v>7.608695652173914</v>
      </c>
      <c r="M32" s="9"/>
      <c r="N32" s="9">
        <v>84</v>
      </c>
      <c r="O32" s="7" t="e">
        <f t="shared" si="3"/>
        <v>#DIV/0!</v>
      </c>
    </row>
    <row r="33" spans="1:15" ht="16.5" x14ac:dyDescent="0.45">
      <c r="A33" s="15" t="s">
        <v>29</v>
      </c>
      <c r="B33" s="17"/>
      <c r="C33" s="17">
        <v>8</v>
      </c>
      <c r="D33" s="11">
        <v>443</v>
      </c>
      <c r="E33" s="9">
        <v>218</v>
      </c>
      <c r="F33" s="10">
        <f t="shared" si="0"/>
        <v>49.209932279909708</v>
      </c>
      <c r="G33" s="11">
        <v>443</v>
      </c>
      <c r="H33" s="9">
        <v>235</v>
      </c>
      <c r="I33" s="12">
        <f t="shared" si="1"/>
        <v>53.04740406320542</v>
      </c>
      <c r="J33" s="9">
        <v>425</v>
      </c>
      <c r="K33" s="9">
        <v>201</v>
      </c>
      <c r="L33" s="10">
        <f t="shared" si="2"/>
        <v>47.294117647058826</v>
      </c>
      <c r="M33" s="9"/>
      <c r="N33" s="9">
        <v>1021</v>
      </c>
      <c r="O33" s="7" t="e">
        <f t="shared" si="3"/>
        <v>#DIV/0!</v>
      </c>
    </row>
    <row r="34" spans="1:15" ht="16.5" x14ac:dyDescent="0.45">
      <c r="A34" s="15" t="s">
        <v>30</v>
      </c>
      <c r="B34" s="17"/>
      <c r="C34" s="17">
        <v>0</v>
      </c>
      <c r="D34" s="11">
        <v>99</v>
      </c>
      <c r="E34" s="9">
        <v>14</v>
      </c>
      <c r="F34" s="10">
        <f t="shared" si="0"/>
        <v>14.14141414141414</v>
      </c>
      <c r="G34" s="11">
        <v>99</v>
      </c>
      <c r="H34" s="9">
        <v>12</v>
      </c>
      <c r="I34" s="12">
        <f t="shared" si="1"/>
        <v>12.121212121212121</v>
      </c>
      <c r="J34" s="9">
        <v>95</v>
      </c>
      <c r="K34" s="9">
        <v>19</v>
      </c>
      <c r="L34" s="10">
        <f t="shared" si="2"/>
        <v>20</v>
      </c>
      <c r="M34" s="9"/>
      <c r="N34" s="9">
        <v>11</v>
      </c>
      <c r="O34" s="7" t="e">
        <f t="shared" si="3"/>
        <v>#DIV/0!</v>
      </c>
    </row>
    <row r="35" spans="1:15" ht="43.5" x14ac:dyDescent="0.45">
      <c r="A35" s="15" t="s">
        <v>31</v>
      </c>
      <c r="B35" s="17"/>
      <c r="C35" s="17">
        <v>48</v>
      </c>
      <c r="D35" s="11">
        <v>1467</v>
      </c>
      <c r="E35" s="9">
        <v>181</v>
      </c>
      <c r="F35" s="10">
        <f t="shared" si="0"/>
        <v>12.338104976141787</v>
      </c>
      <c r="G35" s="11">
        <v>1467</v>
      </c>
      <c r="H35" s="9">
        <v>262</v>
      </c>
      <c r="I35" s="12">
        <f t="shared" si="1"/>
        <v>17.859577368779821</v>
      </c>
      <c r="J35" s="9">
        <v>1144</v>
      </c>
      <c r="K35" s="9">
        <v>162</v>
      </c>
      <c r="L35" s="10">
        <f t="shared" si="2"/>
        <v>14.160839160839162</v>
      </c>
      <c r="M35" s="9"/>
      <c r="N35" s="9">
        <v>1406</v>
      </c>
      <c r="O35" s="7" t="e">
        <f t="shared" si="3"/>
        <v>#DIV/0!</v>
      </c>
    </row>
    <row r="36" spans="1:15" ht="29" x14ac:dyDescent="0.45">
      <c r="A36" s="15" t="s">
        <v>32</v>
      </c>
      <c r="B36" s="17"/>
      <c r="C36" s="17">
        <v>6</v>
      </c>
      <c r="D36" s="11">
        <v>30</v>
      </c>
      <c r="E36" s="9">
        <v>32</v>
      </c>
      <c r="F36" s="10">
        <f t="shared" si="0"/>
        <v>106.66666666666667</v>
      </c>
      <c r="G36" s="11">
        <v>30</v>
      </c>
      <c r="H36" s="9">
        <v>31</v>
      </c>
      <c r="I36" s="12">
        <f t="shared" si="1"/>
        <v>103.33333333333334</v>
      </c>
      <c r="J36" s="9">
        <v>50</v>
      </c>
      <c r="K36" s="9">
        <v>43</v>
      </c>
      <c r="L36" s="10">
        <f t="shared" si="2"/>
        <v>86</v>
      </c>
      <c r="M36" s="9"/>
      <c r="N36" s="9">
        <v>73</v>
      </c>
      <c r="O36" s="7" t="e">
        <f t="shared" si="3"/>
        <v>#DIV/0!</v>
      </c>
    </row>
    <row r="37" spans="1:15" ht="16.5" x14ac:dyDescent="0.45">
      <c r="A37" s="15" t="s">
        <v>33</v>
      </c>
      <c r="B37" s="17"/>
      <c r="C37" s="17">
        <v>1</v>
      </c>
      <c r="D37" s="11">
        <v>112</v>
      </c>
      <c r="E37" s="9">
        <v>26</v>
      </c>
      <c r="F37" s="10">
        <f t="shared" si="0"/>
        <v>23.214285714285715</v>
      </c>
      <c r="G37" s="11">
        <v>112</v>
      </c>
      <c r="H37" s="9">
        <v>16</v>
      </c>
      <c r="I37" s="12">
        <f t="shared" si="1"/>
        <v>14.285714285714285</v>
      </c>
      <c r="J37" s="9">
        <v>133</v>
      </c>
      <c r="K37" s="9">
        <v>39</v>
      </c>
      <c r="L37" s="10">
        <f t="shared" si="2"/>
        <v>29.323308270676691</v>
      </c>
      <c r="M37" s="9"/>
      <c r="N37" s="9">
        <v>11</v>
      </c>
      <c r="O37" s="7" t="e">
        <f t="shared" si="3"/>
        <v>#DIV/0!</v>
      </c>
    </row>
    <row r="38" spans="1:15" ht="29" x14ac:dyDescent="0.45">
      <c r="A38" s="16" t="s">
        <v>34</v>
      </c>
      <c r="B38" s="17"/>
      <c r="C38" s="17">
        <v>1</v>
      </c>
      <c r="D38" s="11">
        <v>61</v>
      </c>
      <c r="E38" s="9">
        <v>8</v>
      </c>
      <c r="F38" s="10">
        <f t="shared" si="0"/>
        <v>13.114754098360656</v>
      </c>
      <c r="G38" s="11">
        <v>61</v>
      </c>
      <c r="H38" s="9">
        <v>16</v>
      </c>
      <c r="I38" s="12">
        <f t="shared" si="1"/>
        <v>26.229508196721312</v>
      </c>
      <c r="J38" s="9">
        <v>105</v>
      </c>
      <c r="K38" s="9">
        <v>12</v>
      </c>
      <c r="L38" s="10">
        <f t="shared" si="2"/>
        <v>11.428571428571429</v>
      </c>
      <c r="M38" s="9"/>
      <c r="N38" s="9">
        <v>56</v>
      </c>
      <c r="O38" s="7" t="e">
        <f t="shared" si="3"/>
        <v>#DIV/0!</v>
      </c>
    </row>
    <row r="39" spans="1:15" ht="16.5" x14ac:dyDescent="0.45">
      <c r="A39" s="16" t="s">
        <v>35</v>
      </c>
      <c r="B39" s="17"/>
      <c r="C39" s="17">
        <v>6</v>
      </c>
      <c r="D39" s="11">
        <v>117</v>
      </c>
      <c r="E39" s="9">
        <v>26</v>
      </c>
      <c r="F39" s="10">
        <f t="shared" si="0"/>
        <v>22.222222222222221</v>
      </c>
      <c r="G39" s="11">
        <v>117</v>
      </c>
      <c r="H39" s="9">
        <v>25</v>
      </c>
      <c r="I39" s="12">
        <f t="shared" si="1"/>
        <v>21.367521367521366</v>
      </c>
      <c r="J39" s="9">
        <v>64</v>
      </c>
      <c r="K39" s="9">
        <v>42</v>
      </c>
      <c r="L39" s="10">
        <f t="shared" si="2"/>
        <v>65.625</v>
      </c>
      <c r="M39" s="9"/>
      <c r="N39" s="9">
        <v>390</v>
      </c>
      <c r="O39" s="7" t="e">
        <f t="shared" si="3"/>
        <v>#DIV/0!</v>
      </c>
    </row>
    <row r="40" spans="1:15" ht="16.5" x14ac:dyDescent="0.45">
      <c r="A40" s="16" t="s">
        <v>36</v>
      </c>
      <c r="B40" s="17"/>
      <c r="C40" s="17">
        <v>0</v>
      </c>
      <c r="D40" s="11">
        <v>62</v>
      </c>
      <c r="E40" s="9">
        <v>5</v>
      </c>
      <c r="F40" s="10">
        <f t="shared" si="0"/>
        <v>8.064516129032258</v>
      </c>
      <c r="G40" s="11">
        <v>62</v>
      </c>
      <c r="H40" s="9">
        <v>12</v>
      </c>
      <c r="I40" s="12">
        <f t="shared" si="1"/>
        <v>19.35483870967742</v>
      </c>
      <c r="J40" s="9">
        <v>69</v>
      </c>
      <c r="K40" s="9">
        <v>16</v>
      </c>
      <c r="L40" s="10">
        <f t="shared" si="2"/>
        <v>23.188405797101449</v>
      </c>
      <c r="M40" s="9"/>
      <c r="N40" s="9">
        <v>82</v>
      </c>
      <c r="O40" s="7" t="e">
        <f t="shared" si="3"/>
        <v>#DIV/0!</v>
      </c>
    </row>
    <row r="41" spans="1:15" ht="16.5" x14ac:dyDescent="0.45">
      <c r="A41" s="16" t="s">
        <v>37</v>
      </c>
      <c r="B41" s="17"/>
      <c r="C41" s="17">
        <v>1</v>
      </c>
      <c r="D41" s="11">
        <v>62</v>
      </c>
      <c r="E41" s="9">
        <v>9</v>
      </c>
      <c r="F41" s="10">
        <f t="shared" si="0"/>
        <v>14.516129032258066</v>
      </c>
      <c r="G41" s="11">
        <v>62</v>
      </c>
      <c r="H41" s="9">
        <v>8</v>
      </c>
      <c r="I41" s="12">
        <f t="shared" si="1"/>
        <v>12.903225806451612</v>
      </c>
      <c r="J41" s="9">
        <v>75</v>
      </c>
      <c r="K41" s="9">
        <v>16</v>
      </c>
      <c r="L41" s="10">
        <f t="shared" si="2"/>
        <v>21.333333333333336</v>
      </c>
      <c r="M41" s="9"/>
      <c r="N41" s="9">
        <v>121</v>
      </c>
      <c r="O41" s="7" t="e">
        <f t="shared" si="3"/>
        <v>#DIV/0!</v>
      </c>
    </row>
    <row r="42" spans="1:15" ht="16.5" x14ac:dyDescent="0.45">
      <c r="A42" s="16" t="s">
        <v>38</v>
      </c>
      <c r="B42" s="17"/>
      <c r="C42" s="17">
        <v>9</v>
      </c>
      <c r="D42" s="11">
        <v>130</v>
      </c>
      <c r="E42" s="9">
        <v>23</v>
      </c>
      <c r="F42" s="10">
        <f t="shared" si="0"/>
        <v>17.692307692307693</v>
      </c>
      <c r="G42" s="11">
        <v>130</v>
      </c>
      <c r="H42" s="9">
        <v>20</v>
      </c>
      <c r="I42" s="12">
        <f t="shared" si="1"/>
        <v>15.384615384615385</v>
      </c>
      <c r="J42" s="9">
        <v>123</v>
      </c>
      <c r="K42" s="9">
        <v>48</v>
      </c>
      <c r="L42" s="10">
        <f t="shared" si="2"/>
        <v>39.024390243902438</v>
      </c>
      <c r="M42" s="9"/>
      <c r="N42" s="9">
        <v>302</v>
      </c>
      <c r="O42" s="7" t="e">
        <f t="shared" si="3"/>
        <v>#DIV/0!</v>
      </c>
    </row>
    <row r="43" spans="1:15" ht="16.5" x14ac:dyDescent="0.45">
      <c r="A43" s="16" t="s">
        <v>39</v>
      </c>
      <c r="B43" s="17"/>
      <c r="C43" s="17">
        <v>6</v>
      </c>
      <c r="D43" s="11">
        <v>259</v>
      </c>
      <c r="E43" s="9">
        <v>54</v>
      </c>
      <c r="F43" s="10">
        <f t="shared" si="0"/>
        <v>20.849420849420849</v>
      </c>
      <c r="G43" s="11">
        <v>259</v>
      </c>
      <c r="H43" s="9">
        <v>57</v>
      </c>
      <c r="I43" s="12">
        <f t="shared" si="1"/>
        <v>22.007722007722009</v>
      </c>
      <c r="J43" s="9">
        <v>208</v>
      </c>
      <c r="K43" s="9">
        <v>38</v>
      </c>
      <c r="L43" s="10">
        <f t="shared" si="2"/>
        <v>18.269230769230766</v>
      </c>
      <c r="M43" s="9"/>
      <c r="N43" s="9">
        <v>304</v>
      </c>
      <c r="O43" s="7" t="e">
        <f t="shared" si="3"/>
        <v>#DIV/0!</v>
      </c>
    </row>
    <row r="44" spans="1:15" ht="29" x14ac:dyDescent="0.45">
      <c r="A44" s="16" t="s">
        <v>40</v>
      </c>
      <c r="B44" s="17"/>
      <c r="C44" s="17">
        <v>0</v>
      </c>
      <c r="D44" s="11">
        <v>36</v>
      </c>
      <c r="E44" s="9">
        <v>4</v>
      </c>
      <c r="F44" s="10">
        <f t="shared" si="0"/>
        <v>11.111111111111111</v>
      </c>
      <c r="G44" s="11">
        <v>36</v>
      </c>
      <c r="H44" s="9">
        <v>3</v>
      </c>
      <c r="I44" s="12">
        <f t="shared" si="1"/>
        <v>8.3333333333333321</v>
      </c>
      <c r="J44" s="9">
        <v>36</v>
      </c>
      <c r="K44" s="9">
        <v>11</v>
      </c>
      <c r="L44" s="10">
        <f t="shared" si="2"/>
        <v>30.555555555555557</v>
      </c>
      <c r="M44" s="9"/>
      <c r="N44" s="9">
        <v>0</v>
      </c>
      <c r="O44" s="7" t="e">
        <f t="shared" si="3"/>
        <v>#DIV/0!</v>
      </c>
    </row>
    <row r="45" spans="1:15" ht="29" x14ac:dyDescent="0.45">
      <c r="A45" s="16" t="s">
        <v>41</v>
      </c>
      <c r="B45" s="17"/>
      <c r="C45" s="17">
        <v>9</v>
      </c>
      <c r="D45" s="11">
        <v>129</v>
      </c>
      <c r="E45" s="9">
        <v>32</v>
      </c>
      <c r="F45" s="10">
        <f t="shared" si="0"/>
        <v>24.806201550387598</v>
      </c>
      <c r="G45" s="11">
        <v>129</v>
      </c>
      <c r="H45" s="9">
        <v>49</v>
      </c>
      <c r="I45" s="12">
        <f t="shared" si="1"/>
        <v>37.984496124031011</v>
      </c>
      <c r="J45" s="9">
        <v>153</v>
      </c>
      <c r="K45" s="9">
        <v>53</v>
      </c>
      <c r="L45" s="10">
        <f t="shared" si="2"/>
        <v>34.640522875816991</v>
      </c>
      <c r="M45" s="9"/>
      <c r="N45" s="9">
        <v>400</v>
      </c>
      <c r="O45" s="7" t="e">
        <f t="shared" si="3"/>
        <v>#DIV/0!</v>
      </c>
    </row>
    <row r="46" spans="1:15" x14ac:dyDescent="0.35">
      <c r="A46" s="40" t="s">
        <v>50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x14ac:dyDescent="0.35">
      <c r="A47" s="34" t="s">
        <v>51</v>
      </c>
      <c r="B47" s="34"/>
      <c r="C47" s="34"/>
      <c r="D47" s="34"/>
      <c r="E47" s="34"/>
    </row>
    <row r="48" spans="1:15" x14ac:dyDescent="0.35">
      <c r="A48" s="35" t="s">
        <v>52</v>
      </c>
      <c r="B48" s="35"/>
      <c r="C48" s="35"/>
      <c r="D48" s="35"/>
      <c r="E48" s="35"/>
    </row>
  </sheetData>
  <mergeCells count="8">
    <mergeCell ref="A47:E47"/>
    <mergeCell ref="A48:E48"/>
    <mergeCell ref="A1:O1"/>
    <mergeCell ref="A2:O3"/>
    <mergeCell ref="A4:O4"/>
    <mergeCell ref="A5:L5"/>
    <mergeCell ref="M5:O5"/>
    <mergeCell ref="A46:L4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9"/>
  <sheetViews>
    <sheetView workbookViewId="0">
      <selection activeCell="M36" sqref="M36"/>
    </sheetView>
  </sheetViews>
  <sheetFormatPr baseColWidth="10" defaultRowHeight="14.5" x14ac:dyDescent="0.35"/>
  <cols>
    <col min="1" max="1" width="19.81640625" customWidth="1"/>
    <col min="3" max="3" width="11.453125" style="26"/>
    <col min="6" max="6" width="11.453125" style="26"/>
    <col min="9" max="9" width="11.453125" style="26"/>
  </cols>
  <sheetData>
    <row r="1" spans="1:10" x14ac:dyDescent="0.35">
      <c r="A1" s="43" t="s">
        <v>60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35">
      <c r="A2" s="37" t="s">
        <v>58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 ht="18.5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</row>
    <row r="5" spans="1:10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ht="30" customHeight="1" x14ac:dyDescent="0.35">
      <c r="A6" s="44" t="s">
        <v>2</v>
      </c>
      <c r="B6" s="46" t="s">
        <v>55</v>
      </c>
      <c r="C6" s="47"/>
      <c r="D6" s="48"/>
      <c r="E6" s="46" t="s">
        <v>56</v>
      </c>
      <c r="F6" s="47"/>
      <c r="G6" s="48"/>
      <c r="H6" s="46" t="s">
        <v>57</v>
      </c>
      <c r="I6" s="47"/>
      <c r="J6" s="48"/>
    </row>
    <row r="7" spans="1:10" ht="43.5" x14ac:dyDescent="0.35">
      <c r="A7" s="45"/>
      <c r="B7" s="5" t="s">
        <v>42</v>
      </c>
      <c r="C7" s="23" t="s">
        <v>45</v>
      </c>
      <c r="D7" s="6" t="s">
        <v>44</v>
      </c>
      <c r="E7" s="5" t="s">
        <v>42</v>
      </c>
      <c r="F7" s="23" t="s">
        <v>46</v>
      </c>
      <c r="G7" s="19" t="s">
        <v>44</v>
      </c>
      <c r="H7" s="5" t="s">
        <v>42</v>
      </c>
      <c r="I7" s="23" t="s">
        <v>43</v>
      </c>
      <c r="J7" s="5" t="s">
        <v>44</v>
      </c>
    </row>
    <row r="8" spans="1:10" ht="16.5" x14ac:dyDescent="0.45">
      <c r="A8" s="22" t="s">
        <v>26</v>
      </c>
      <c r="B8" s="11">
        <v>499</v>
      </c>
      <c r="C8" s="24">
        <v>109</v>
      </c>
      <c r="D8" s="10">
        <f t="shared" ref="D8:D46" si="0">SUM(C8/B8*100)</f>
        <v>21.8436873747495</v>
      </c>
      <c r="E8" s="11">
        <v>499</v>
      </c>
      <c r="F8" s="24">
        <v>88</v>
      </c>
      <c r="G8" s="12">
        <f t="shared" ref="G8:G46" si="1">SUM(F8/E8*100)</f>
        <v>17.635270541082164</v>
      </c>
      <c r="H8" s="9">
        <v>560</v>
      </c>
      <c r="I8" s="24">
        <v>141</v>
      </c>
      <c r="J8" s="10">
        <f t="shared" ref="J8:J46" si="2">SUM(I8/H8*100)</f>
        <v>25.178571428571427</v>
      </c>
    </row>
    <row r="9" spans="1:10" ht="16.5" x14ac:dyDescent="0.45">
      <c r="A9" s="22" t="s">
        <v>27</v>
      </c>
      <c r="B9" s="11">
        <v>54</v>
      </c>
      <c r="C9" s="24">
        <v>10</v>
      </c>
      <c r="D9" s="10">
        <f t="shared" si="0"/>
        <v>18.518518518518519</v>
      </c>
      <c r="E9" s="11">
        <v>54</v>
      </c>
      <c r="F9" s="24">
        <v>21</v>
      </c>
      <c r="G9" s="12">
        <f t="shared" si="1"/>
        <v>38.888888888888893</v>
      </c>
      <c r="H9" s="9">
        <v>51</v>
      </c>
      <c r="I9" s="24">
        <v>27</v>
      </c>
      <c r="J9" s="10">
        <f t="shared" si="2"/>
        <v>52.941176470588239</v>
      </c>
    </row>
    <row r="10" spans="1:10" ht="16.5" x14ac:dyDescent="0.45">
      <c r="A10" s="22" t="s">
        <v>34</v>
      </c>
      <c r="B10" s="11">
        <v>61</v>
      </c>
      <c r="C10" s="24">
        <v>8</v>
      </c>
      <c r="D10" s="10">
        <f t="shared" si="0"/>
        <v>13.114754098360656</v>
      </c>
      <c r="E10" s="11">
        <v>61</v>
      </c>
      <c r="F10" s="24">
        <v>16</v>
      </c>
      <c r="G10" s="12">
        <f t="shared" si="1"/>
        <v>26.229508196721312</v>
      </c>
      <c r="H10" s="9">
        <v>105</v>
      </c>
      <c r="I10" s="24">
        <v>12</v>
      </c>
      <c r="J10" s="10">
        <f t="shared" si="2"/>
        <v>11.428571428571429</v>
      </c>
    </row>
    <row r="11" spans="1:10" ht="16.5" x14ac:dyDescent="0.45">
      <c r="A11" s="22" t="s">
        <v>14</v>
      </c>
      <c r="B11" s="11">
        <v>643</v>
      </c>
      <c r="C11" s="24">
        <v>164</v>
      </c>
      <c r="D11" s="10">
        <f t="shared" si="0"/>
        <v>25.505443234836704</v>
      </c>
      <c r="E11" s="11">
        <v>643</v>
      </c>
      <c r="F11" s="24">
        <v>117</v>
      </c>
      <c r="G11" s="12">
        <f t="shared" si="1"/>
        <v>18.195956454121305</v>
      </c>
      <c r="H11" s="9">
        <v>843</v>
      </c>
      <c r="I11" s="24">
        <v>136</v>
      </c>
      <c r="J11" s="10">
        <f t="shared" si="2"/>
        <v>16.132858837485173</v>
      </c>
    </row>
    <row r="12" spans="1:10" ht="16.5" x14ac:dyDescent="0.45">
      <c r="A12" s="22" t="s">
        <v>3</v>
      </c>
      <c r="B12" s="11">
        <v>8431</v>
      </c>
      <c r="C12" s="25">
        <v>2388</v>
      </c>
      <c r="D12" s="10">
        <f t="shared" si="0"/>
        <v>28.324042225121577</v>
      </c>
      <c r="E12" s="11">
        <v>8431</v>
      </c>
      <c r="F12" s="27">
        <v>1713</v>
      </c>
      <c r="G12" s="12">
        <f t="shared" si="1"/>
        <v>20.317874510734196</v>
      </c>
      <c r="H12" s="8">
        <v>10719</v>
      </c>
      <c r="I12" s="27">
        <v>2109</v>
      </c>
      <c r="J12" s="10">
        <f t="shared" si="2"/>
        <v>19.675342849146375</v>
      </c>
    </row>
    <row r="13" spans="1:10" ht="16.5" x14ac:dyDescent="0.45">
      <c r="A13" s="22" t="s">
        <v>35</v>
      </c>
      <c r="B13" s="11">
        <v>117</v>
      </c>
      <c r="C13" s="24">
        <v>27</v>
      </c>
      <c r="D13" s="10">
        <f t="shared" si="0"/>
        <v>23.076923076923077</v>
      </c>
      <c r="E13" s="11">
        <v>117</v>
      </c>
      <c r="F13" s="24">
        <v>25</v>
      </c>
      <c r="G13" s="12">
        <f t="shared" si="1"/>
        <v>21.367521367521366</v>
      </c>
      <c r="H13" s="9">
        <v>64</v>
      </c>
      <c r="I13" s="24">
        <v>43</v>
      </c>
      <c r="J13" s="10">
        <f t="shared" si="2"/>
        <v>67.1875</v>
      </c>
    </row>
    <row r="14" spans="1:10" ht="34.5" customHeight="1" x14ac:dyDescent="0.45">
      <c r="A14" s="22" t="s">
        <v>15</v>
      </c>
      <c r="B14" s="11">
        <v>236</v>
      </c>
      <c r="C14" s="24">
        <v>58</v>
      </c>
      <c r="D14" s="10">
        <f t="shared" si="0"/>
        <v>24.576271186440678</v>
      </c>
      <c r="E14" s="11">
        <v>236</v>
      </c>
      <c r="F14" s="24">
        <v>61</v>
      </c>
      <c r="G14" s="12">
        <f t="shared" si="1"/>
        <v>25.847457627118644</v>
      </c>
      <c r="H14" s="9">
        <v>231</v>
      </c>
      <c r="I14" s="24">
        <v>73</v>
      </c>
      <c r="J14" s="10">
        <f t="shared" si="2"/>
        <v>31.601731601731604</v>
      </c>
    </row>
    <row r="15" spans="1:10" ht="16.5" x14ac:dyDescent="0.45">
      <c r="A15" s="22" t="s">
        <v>16</v>
      </c>
      <c r="B15" s="11">
        <v>5736</v>
      </c>
      <c r="C15" s="24">
        <v>1098</v>
      </c>
      <c r="D15" s="10">
        <f t="shared" si="0"/>
        <v>19.142259414225943</v>
      </c>
      <c r="E15" s="11">
        <v>5736</v>
      </c>
      <c r="F15" s="24">
        <v>834</v>
      </c>
      <c r="G15" s="12">
        <f t="shared" si="1"/>
        <v>14.539748953974897</v>
      </c>
      <c r="H15" s="9">
        <v>6878</v>
      </c>
      <c r="I15" s="24">
        <v>853</v>
      </c>
      <c r="J15" s="10">
        <f t="shared" si="2"/>
        <v>12.401861006106426</v>
      </c>
    </row>
    <row r="16" spans="1:10" ht="16.5" x14ac:dyDescent="0.45">
      <c r="A16" s="22" t="s">
        <v>4</v>
      </c>
      <c r="B16" s="11">
        <v>576</v>
      </c>
      <c r="C16" s="24">
        <v>172</v>
      </c>
      <c r="D16" s="10">
        <f t="shared" si="0"/>
        <v>29.861111111111111</v>
      </c>
      <c r="E16" s="11">
        <v>576</v>
      </c>
      <c r="F16" s="24">
        <v>159</v>
      </c>
      <c r="G16" s="12">
        <f t="shared" si="1"/>
        <v>27.604166666666668</v>
      </c>
      <c r="H16" s="9">
        <v>657</v>
      </c>
      <c r="I16" s="24">
        <v>191</v>
      </c>
      <c r="J16" s="10">
        <f t="shared" si="2"/>
        <v>29.071537290715373</v>
      </c>
    </row>
    <row r="17" spans="1:10" ht="16.5" x14ac:dyDescent="0.45">
      <c r="A17" s="22" t="s">
        <v>28</v>
      </c>
      <c r="B17" s="11">
        <v>137</v>
      </c>
      <c r="C17" s="24">
        <v>24</v>
      </c>
      <c r="D17" s="10">
        <f t="shared" si="0"/>
        <v>17.518248175182482</v>
      </c>
      <c r="E17" s="11">
        <v>137</v>
      </c>
      <c r="F17" s="24">
        <v>18</v>
      </c>
      <c r="G17" s="12">
        <f t="shared" si="1"/>
        <v>13.138686131386862</v>
      </c>
      <c r="H17" s="9">
        <v>184</v>
      </c>
      <c r="I17" s="24">
        <v>14</v>
      </c>
      <c r="J17" s="10">
        <f t="shared" si="2"/>
        <v>7.608695652173914</v>
      </c>
    </row>
    <row r="18" spans="1:10" ht="16.5" x14ac:dyDescent="0.45">
      <c r="A18" s="22" t="s">
        <v>36</v>
      </c>
      <c r="B18" s="11">
        <v>62</v>
      </c>
      <c r="C18" s="24">
        <v>5</v>
      </c>
      <c r="D18" s="10">
        <f t="shared" si="0"/>
        <v>8.064516129032258</v>
      </c>
      <c r="E18" s="11">
        <v>62</v>
      </c>
      <c r="F18" s="24">
        <v>13</v>
      </c>
      <c r="G18" s="12">
        <f t="shared" si="1"/>
        <v>20.967741935483872</v>
      </c>
      <c r="H18" s="9">
        <v>69</v>
      </c>
      <c r="I18" s="24">
        <v>16</v>
      </c>
      <c r="J18" s="10">
        <f t="shared" si="2"/>
        <v>23.188405797101449</v>
      </c>
    </row>
    <row r="19" spans="1:10" ht="16.5" x14ac:dyDescent="0.45">
      <c r="A19" s="22" t="s">
        <v>37</v>
      </c>
      <c r="B19" s="11">
        <v>62</v>
      </c>
      <c r="C19" s="24">
        <v>9</v>
      </c>
      <c r="D19" s="10">
        <f t="shared" si="0"/>
        <v>14.516129032258066</v>
      </c>
      <c r="E19" s="11">
        <v>62</v>
      </c>
      <c r="F19" s="24">
        <v>8</v>
      </c>
      <c r="G19" s="12">
        <f t="shared" si="1"/>
        <v>12.903225806451612</v>
      </c>
      <c r="H19" s="9">
        <v>75</v>
      </c>
      <c r="I19" s="24">
        <v>16</v>
      </c>
      <c r="J19" s="10">
        <f t="shared" si="2"/>
        <v>21.333333333333336</v>
      </c>
    </row>
    <row r="20" spans="1:10" ht="16.5" x14ac:dyDescent="0.45">
      <c r="A20" s="22" t="s">
        <v>17</v>
      </c>
      <c r="B20" s="11">
        <v>2230</v>
      </c>
      <c r="C20" s="24">
        <v>580</v>
      </c>
      <c r="D20" s="10">
        <f t="shared" si="0"/>
        <v>26.00896860986547</v>
      </c>
      <c r="E20" s="11">
        <v>2230</v>
      </c>
      <c r="F20" s="24">
        <v>857</v>
      </c>
      <c r="G20" s="12">
        <f t="shared" si="1"/>
        <v>38.430493273542595</v>
      </c>
      <c r="H20" s="9">
        <v>2609</v>
      </c>
      <c r="I20" s="24">
        <v>629</v>
      </c>
      <c r="J20" s="10">
        <f t="shared" si="2"/>
        <v>24.108853967037177</v>
      </c>
    </row>
    <row r="21" spans="1:10" ht="16.5" x14ac:dyDescent="0.45">
      <c r="A21" s="22" t="s">
        <v>18</v>
      </c>
      <c r="B21" s="11">
        <v>543</v>
      </c>
      <c r="C21" s="24">
        <v>129</v>
      </c>
      <c r="D21" s="10">
        <f t="shared" si="0"/>
        <v>23.756906077348066</v>
      </c>
      <c r="E21" s="11">
        <v>543</v>
      </c>
      <c r="F21" s="24">
        <v>120</v>
      </c>
      <c r="G21" s="12">
        <f t="shared" si="1"/>
        <v>22.099447513812155</v>
      </c>
      <c r="H21" s="9">
        <v>634</v>
      </c>
      <c r="I21" s="24">
        <v>178</v>
      </c>
      <c r="J21" s="10">
        <f t="shared" si="2"/>
        <v>28.075709779179807</v>
      </c>
    </row>
    <row r="22" spans="1:10" ht="16.5" x14ac:dyDescent="0.45">
      <c r="A22" s="22" t="s">
        <v>5</v>
      </c>
      <c r="B22" s="11">
        <v>1425</v>
      </c>
      <c r="C22" s="24">
        <v>275</v>
      </c>
      <c r="D22" s="10">
        <f t="shared" si="0"/>
        <v>19.298245614035086</v>
      </c>
      <c r="E22" s="11">
        <v>1425</v>
      </c>
      <c r="F22" s="24">
        <v>210</v>
      </c>
      <c r="G22" s="12">
        <f t="shared" si="1"/>
        <v>14.736842105263156</v>
      </c>
      <c r="H22" s="9">
        <v>1082</v>
      </c>
      <c r="I22" s="24">
        <v>247</v>
      </c>
      <c r="J22" s="10">
        <f t="shared" si="2"/>
        <v>22.828096118299445</v>
      </c>
    </row>
    <row r="23" spans="1:10" ht="16.5" x14ac:dyDescent="0.45">
      <c r="A23" s="22" t="s">
        <v>19</v>
      </c>
      <c r="B23" s="11">
        <v>284</v>
      </c>
      <c r="C23" s="24">
        <v>77</v>
      </c>
      <c r="D23" s="10">
        <f t="shared" si="0"/>
        <v>27.112676056338032</v>
      </c>
      <c r="E23" s="11">
        <v>284</v>
      </c>
      <c r="F23" s="24">
        <v>70</v>
      </c>
      <c r="G23" s="12">
        <f t="shared" si="1"/>
        <v>24.647887323943664</v>
      </c>
      <c r="H23" s="9">
        <v>376</v>
      </c>
      <c r="I23" s="24">
        <v>132</v>
      </c>
      <c r="J23" s="10">
        <f t="shared" si="2"/>
        <v>35.106382978723403</v>
      </c>
    </row>
    <row r="24" spans="1:10" ht="16.5" x14ac:dyDescent="0.45">
      <c r="A24" s="22" t="s">
        <v>6</v>
      </c>
      <c r="B24" s="11">
        <v>488</v>
      </c>
      <c r="C24" s="24">
        <v>65</v>
      </c>
      <c r="D24" s="10">
        <f t="shared" si="0"/>
        <v>13.319672131147541</v>
      </c>
      <c r="E24" s="11">
        <v>488</v>
      </c>
      <c r="F24" s="24">
        <v>80</v>
      </c>
      <c r="G24" s="12">
        <f t="shared" si="1"/>
        <v>16.393442622950818</v>
      </c>
      <c r="H24" s="9">
        <v>514</v>
      </c>
      <c r="I24" s="24">
        <v>106</v>
      </c>
      <c r="J24" s="10">
        <f t="shared" si="2"/>
        <v>20.622568093385212</v>
      </c>
    </row>
    <row r="25" spans="1:10" ht="16.5" x14ac:dyDescent="0.45">
      <c r="A25" s="22" t="s">
        <v>29</v>
      </c>
      <c r="B25" s="11">
        <v>443</v>
      </c>
      <c r="C25" s="24">
        <v>218</v>
      </c>
      <c r="D25" s="10">
        <f t="shared" si="0"/>
        <v>49.209932279909708</v>
      </c>
      <c r="E25" s="11">
        <v>443</v>
      </c>
      <c r="F25" s="24">
        <v>235</v>
      </c>
      <c r="G25" s="12">
        <f t="shared" si="1"/>
        <v>53.04740406320542</v>
      </c>
      <c r="H25" s="9">
        <v>425</v>
      </c>
      <c r="I25" s="24">
        <v>201</v>
      </c>
      <c r="J25" s="10">
        <f t="shared" si="2"/>
        <v>47.294117647058826</v>
      </c>
    </row>
    <row r="26" spans="1:10" ht="16.5" x14ac:dyDescent="0.45">
      <c r="A26" s="22" t="s">
        <v>38</v>
      </c>
      <c r="B26" s="11">
        <v>130</v>
      </c>
      <c r="C26" s="24">
        <v>23</v>
      </c>
      <c r="D26" s="10">
        <f t="shared" si="0"/>
        <v>17.692307692307693</v>
      </c>
      <c r="E26" s="11">
        <v>130</v>
      </c>
      <c r="F26" s="24">
        <v>22</v>
      </c>
      <c r="G26" s="12">
        <f t="shared" si="1"/>
        <v>16.923076923076923</v>
      </c>
      <c r="H26" s="9">
        <v>123</v>
      </c>
      <c r="I26" s="24">
        <v>49</v>
      </c>
      <c r="J26" s="10">
        <f t="shared" si="2"/>
        <v>39.837398373983739</v>
      </c>
    </row>
    <row r="27" spans="1:10" ht="16.5" x14ac:dyDescent="0.45">
      <c r="A27" s="22" t="s">
        <v>30</v>
      </c>
      <c r="B27" s="11">
        <v>99</v>
      </c>
      <c r="C27" s="24">
        <v>14</v>
      </c>
      <c r="D27" s="10">
        <f t="shared" si="0"/>
        <v>14.14141414141414</v>
      </c>
      <c r="E27" s="11">
        <v>99</v>
      </c>
      <c r="F27" s="24">
        <v>20</v>
      </c>
      <c r="G27" s="12">
        <f t="shared" si="1"/>
        <v>20.202020202020201</v>
      </c>
      <c r="H27" s="9">
        <v>95</v>
      </c>
      <c r="I27" s="24">
        <v>19</v>
      </c>
      <c r="J27" s="10">
        <f t="shared" si="2"/>
        <v>20</v>
      </c>
    </row>
    <row r="28" spans="1:10" ht="16.5" x14ac:dyDescent="0.45">
      <c r="A28" s="22" t="s">
        <v>7</v>
      </c>
      <c r="B28" s="11">
        <v>224</v>
      </c>
      <c r="C28" s="24">
        <v>31</v>
      </c>
      <c r="D28" s="10">
        <f t="shared" si="0"/>
        <v>13.839285714285715</v>
      </c>
      <c r="E28" s="11">
        <v>224</v>
      </c>
      <c r="F28" s="24">
        <v>60</v>
      </c>
      <c r="G28" s="12">
        <f t="shared" si="1"/>
        <v>26.785714285714285</v>
      </c>
      <c r="H28" s="9">
        <v>243</v>
      </c>
      <c r="I28" s="24">
        <v>121</v>
      </c>
      <c r="J28" s="10">
        <f t="shared" si="2"/>
        <v>49.794238683127574</v>
      </c>
    </row>
    <row r="29" spans="1:10" ht="16.5" x14ac:dyDescent="0.45">
      <c r="A29" s="22" t="s">
        <v>20</v>
      </c>
      <c r="B29" s="11">
        <v>220</v>
      </c>
      <c r="C29" s="24">
        <v>42</v>
      </c>
      <c r="D29" s="10">
        <f t="shared" si="0"/>
        <v>19.090909090909093</v>
      </c>
      <c r="E29" s="11">
        <v>220</v>
      </c>
      <c r="F29" s="24">
        <v>70</v>
      </c>
      <c r="G29" s="12">
        <f t="shared" si="1"/>
        <v>31.818181818181817</v>
      </c>
      <c r="H29" s="9">
        <v>212</v>
      </c>
      <c r="I29" s="24">
        <v>136</v>
      </c>
      <c r="J29" s="10">
        <f t="shared" si="2"/>
        <v>64.15094339622641</v>
      </c>
    </row>
    <row r="30" spans="1:10" ht="16.5" x14ac:dyDescent="0.45">
      <c r="A30" s="22" t="s">
        <v>8</v>
      </c>
      <c r="B30" s="11">
        <v>135</v>
      </c>
      <c r="C30" s="24">
        <v>47</v>
      </c>
      <c r="D30" s="10">
        <f t="shared" si="0"/>
        <v>34.814814814814817</v>
      </c>
      <c r="E30" s="11">
        <v>135</v>
      </c>
      <c r="F30" s="24">
        <v>35</v>
      </c>
      <c r="G30" s="12">
        <f t="shared" si="1"/>
        <v>25.925925925925924</v>
      </c>
      <c r="H30" s="9">
        <v>190</v>
      </c>
      <c r="I30" s="24">
        <v>63</v>
      </c>
      <c r="J30" s="10">
        <f t="shared" si="2"/>
        <v>33.157894736842103</v>
      </c>
    </row>
    <row r="31" spans="1:10" ht="16.5" x14ac:dyDescent="0.45">
      <c r="A31" s="22" t="s">
        <v>9</v>
      </c>
      <c r="B31" s="11">
        <v>1283</v>
      </c>
      <c r="C31" s="24">
        <v>218</v>
      </c>
      <c r="D31" s="10">
        <f t="shared" si="0"/>
        <v>16.991426344505069</v>
      </c>
      <c r="E31" s="11">
        <v>1283</v>
      </c>
      <c r="F31" s="24">
        <v>166</v>
      </c>
      <c r="G31" s="12">
        <f t="shared" si="1"/>
        <v>12.93842556508184</v>
      </c>
      <c r="H31" s="9">
        <v>1399</v>
      </c>
      <c r="I31" s="24">
        <v>225</v>
      </c>
      <c r="J31" s="10">
        <f t="shared" si="2"/>
        <v>16.082916368834884</v>
      </c>
    </row>
    <row r="32" spans="1:10" ht="16.5" x14ac:dyDescent="0.45">
      <c r="A32" s="22" t="s">
        <v>39</v>
      </c>
      <c r="B32" s="11">
        <v>259</v>
      </c>
      <c r="C32" s="24">
        <v>54</v>
      </c>
      <c r="D32" s="10">
        <f t="shared" si="0"/>
        <v>20.849420849420849</v>
      </c>
      <c r="E32" s="11">
        <v>259</v>
      </c>
      <c r="F32" s="24">
        <v>57</v>
      </c>
      <c r="G32" s="12">
        <f t="shared" si="1"/>
        <v>22.007722007722009</v>
      </c>
      <c r="H32" s="9">
        <v>208</v>
      </c>
      <c r="I32" s="24">
        <v>38</v>
      </c>
      <c r="J32" s="10">
        <f t="shared" si="2"/>
        <v>18.269230769230766</v>
      </c>
    </row>
    <row r="33" spans="1:10" ht="16.5" x14ac:dyDescent="0.45">
      <c r="A33" s="22" t="s">
        <v>40</v>
      </c>
      <c r="B33" s="11">
        <v>36</v>
      </c>
      <c r="C33" s="24">
        <v>4</v>
      </c>
      <c r="D33" s="10">
        <f t="shared" si="0"/>
        <v>11.111111111111111</v>
      </c>
      <c r="E33" s="11">
        <v>36</v>
      </c>
      <c r="F33" s="24">
        <v>3</v>
      </c>
      <c r="G33" s="12">
        <f t="shared" si="1"/>
        <v>8.3333333333333321</v>
      </c>
      <c r="H33" s="9">
        <v>36</v>
      </c>
      <c r="I33" s="24">
        <v>11</v>
      </c>
      <c r="J33" s="10">
        <f t="shared" si="2"/>
        <v>30.555555555555557</v>
      </c>
    </row>
    <row r="34" spans="1:10" ht="16.5" x14ac:dyDescent="0.45">
      <c r="A34" s="22" t="s">
        <v>10</v>
      </c>
      <c r="B34" s="11">
        <v>581</v>
      </c>
      <c r="C34" s="24">
        <v>84</v>
      </c>
      <c r="D34" s="10">
        <f t="shared" si="0"/>
        <v>14.457831325301203</v>
      </c>
      <c r="E34" s="11">
        <v>581</v>
      </c>
      <c r="F34" s="24">
        <v>96</v>
      </c>
      <c r="G34" s="12">
        <f t="shared" si="1"/>
        <v>16.523235800344235</v>
      </c>
      <c r="H34" s="9">
        <v>608</v>
      </c>
      <c r="I34" s="24">
        <v>91</v>
      </c>
      <c r="J34" s="10">
        <f t="shared" si="2"/>
        <v>14.967105263157896</v>
      </c>
    </row>
    <row r="35" spans="1:10" ht="16.5" x14ac:dyDescent="0.45">
      <c r="A35" s="22" t="s">
        <v>41</v>
      </c>
      <c r="B35" s="11">
        <v>129</v>
      </c>
      <c r="C35" s="24">
        <v>33</v>
      </c>
      <c r="D35" s="10">
        <f t="shared" si="0"/>
        <v>25.581395348837212</v>
      </c>
      <c r="E35" s="11">
        <v>129</v>
      </c>
      <c r="F35" s="24">
        <v>51</v>
      </c>
      <c r="G35" s="12">
        <f t="shared" si="1"/>
        <v>39.534883720930232</v>
      </c>
      <c r="H35" s="9">
        <v>153</v>
      </c>
      <c r="I35" s="24">
        <v>53</v>
      </c>
      <c r="J35" s="10">
        <f t="shared" si="2"/>
        <v>34.640522875816991</v>
      </c>
    </row>
    <row r="36" spans="1:10" ht="29" x14ac:dyDescent="0.45">
      <c r="A36" s="22" t="s">
        <v>21</v>
      </c>
      <c r="B36" s="11">
        <v>228</v>
      </c>
      <c r="C36" s="24">
        <v>39</v>
      </c>
      <c r="D36" s="10">
        <f t="shared" si="0"/>
        <v>17.105263157894736</v>
      </c>
      <c r="E36" s="11">
        <v>228</v>
      </c>
      <c r="F36" s="24">
        <v>32</v>
      </c>
      <c r="G36" s="12">
        <f t="shared" si="1"/>
        <v>14.035087719298245</v>
      </c>
      <c r="H36" s="9">
        <v>219</v>
      </c>
      <c r="I36" s="24">
        <v>51</v>
      </c>
      <c r="J36" s="10">
        <f t="shared" si="2"/>
        <v>23.287671232876711</v>
      </c>
    </row>
    <row r="37" spans="1:10" ht="16.5" x14ac:dyDescent="0.45">
      <c r="A37" s="22" t="s">
        <v>22</v>
      </c>
      <c r="B37" s="11">
        <v>33</v>
      </c>
      <c r="C37" s="24">
        <v>21</v>
      </c>
      <c r="D37" s="10">
        <f t="shared" si="0"/>
        <v>63.636363636363633</v>
      </c>
      <c r="E37" s="11">
        <v>33</v>
      </c>
      <c r="F37" s="24">
        <v>7</v>
      </c>
      <c r="G37" s="12">
        <f t="shared" si="1"/>
        <v>21.212121212121211</v>
      </c>
      <c r="H37" s="9">
        <v>38</v>
      </c>
      <c r="I37" s="24">
        <v>4</v>
      </c>
      <c r="J37" s="10">
        <f t="shared" si="2"/>
        <v>10.526315789473683</v>
      </c>
    </row>
    <row r="38" spans="1:10" ht="16.5" x14ac:dyDescent="0.45">
      <c r="A38" s="22" t="s">
        <v>23</v>
      </c>
      <c r="B38" s="11">
        <v>38</v>
      </c>
      <c r="C38" s="24">
        <v>10</v>
      </c>
      <c r="D38" s="10">
        <f t="shared" si="0"/>
        <v>26.315789473684209</v>
      </c>
      <c r="E38" s="11">
        <v>38</v>
      </c>
      <c r="F38" s="24">
        <v>5</v>
      </c>
      <c r="G38" s="12">
        <f t="shared" si="1"/>
        <v>13.157894736842104</v>
      </c>
      <c r="H38" s="9">
        <v>41</v>
      </c>
      <c r="I38" s="24">
        <v>9</v>
      </c>
      <c r="J38" s="10">
        <f t="shared" si="2"/>
        <v>21.951219512195124</v>
      </c>
    </row>
    <row r="39" spans="1:10" ht="16.5" x14ac:dyDescent="0.45">
      <c r="A39" s="22" t="s">
        <v>24</v>
      </c>
      <c r="B39" s="11">
        <v>130</v>
      </c>
      <c r="C39" s="24">
        <v>15</v>
      </c>
      <c r="D39" s="10">
        <f t="shared" si="0"/>
        <v>11.538461538461538</v>
      </c>
      <c r="E39" s="11">
        <v>130</v>
      </c>
      <c r="F39" s="24">
        <v>41</v>
      </c>
      <c r="G39" s="12">
        <f t="shared" si="1"/>
        <v>31.538461538461537</v>
      </c>
      <c r="H39" s="9">
        <v>140</v>
      </c>
      <c r="I39" s="24">
        <v>43</v>
      </c>
      <c r="J39" s="10">
        <f t="shared" si="2"/>
        <v>30.714285714285715</v>
      </c>
    </row>
    <row r="40" spans="1:10" ht="16.5" x14ac:dyDescent="0.45">
      <c r="A40" s="22" t="s">
        <v>31</v>
      </c>
      <c r="B40" s="11">
        <v>1467</v>
      </c>
      <c r="C40" s="24">
        <v>190</v>
      </c>
      <c r="D40" s="10">
        <f t="shared" si="0"/>
        <v>12.951601908657123</v>
      </c>
      <c r="E40" s="11">
        <v>1467</v>
      </c>
      <c r="F40" s="24">
        <v>264</v>
      </c>
      <c r="G40" s="12">
        <f t="shared" si="1"/>
        <v>17.995910020449898</v>
      </c>
      <c r="H40" s="9">
        <v>1144</v>
      </c>
      <c r="I40" s="24">
        <v>167</v>
      </c>
      <c r="J40" s="10">
        <f t="shared" si="2"/>
        <v>14.597902097902098</v>
      </c>
    </row>
    <row r="41" spans="1:10" ht="16.5" x14ac:dyDescent="0.45">
      <c r="A41" s="22" t="s">
        <v>11</v>
      </c>
      <c r="B41" s="11">
        <v>166</v>
      </c>
      <c r="C41" s="24">
        <v>23</v>
      </c>
      <c r="D41" s="10">
        <f t="shared" si="0"/>
        <v>13.855421686746988</v>
      </c>
      <c r="E41" s="11">
        <v>166</v>
      </c>
      <c r="F41" s="24">
        <v>39</v>
      </c>
      <c r="G41" s="12">
        <f t="shared" si="1"/>
        <v>23.493975903614459</v>
      </c>
      <c r="H41" s="9">
        <v>177</v>
      </c>
      <c r="I41" s="24">
        <v>57</v>
      </c>
      <c r="J41" s="10">
        <f t="shared" si="2"/>
        <v>32.20338983050847</v>
      </c>
    </row>
    <row r="42" spans="1:10" ht="16.5" x14ac:dyDescent="0.45">
      <c r="A42" s="22" t="s">
        <v>12</v>
      </c>
      <c r="B42" s="11">
        <v>952</v>
      </c>
      <c r="C42" s="24">
        <v>91</v>
      </c>
      <c r="D42" s="10">
        <f t="shared" si="0"/>
        <v>9.5588235294117645</v>
      </c>
      <c r="E42" s="11">
        <v>952</v>
      </c>
      <c r="F42" s="24">
        <v>92</v>
      </c>
      <c r="G42" s="12">
        <f t="shared" si="1"/>
        <v>9.6638655462184886</v>
      </c>
      <c r="H42" s="9">
        <v>851</v>
      </c>
      <c r="I42" s="24">
        <v>165</v>
      </c>
      <c r="J42" s="10">
        <f t="shared" si="2"/>
        <v>19.388954171562865</v>
      </c>
    </row>
    <row r="43" spans="1:10" ht="16.5" x14ac:dyDescent="0.45">
      <c r="A43" s="22" t="s">
        <v>32</v>
      </c>
      <c r="B43" s="11">
        <v>30</v>
      </c>
      <c r="C43" s="24">
        <v>32</v>
      </c>
      <c r="D43" s="10">
        <f t="shared" si="0"/>
        <v>106.66666666666667</v>
      </c>
      <c r="E43" s="11">
        <v>30</v>
      </c>
      <c r="F43" s="24">
        <v>32</v>
      </c>
      <c r="G43" s="12">
        <f t="shared" si="1"/>
        <v>106.66666666666667</v>
      </c>
      <c r="H43" s="9">
        <v>50</v>
      </c>
      <c r="I43" s="24">
        <v>44</v>
      </c>
      <c r="J43" s="10">
        <f t="shared" si="2"/>
        <v>88</v>
      </c>
    </row>
    <row r="44" spans="1:10" ht="16.5" x14ac:dyDescent="0.45">
      <c r="A44" s="22" t="s">
        <v>25</v>
      </c>
      <c r="B44" s="11">
        <v>278</v>
      </c>
      <c r="C44" s="24">
        <v>95</v>
      </c>
      <c r="D44" s="10">
        <f t="shared" si="0"/>
        <v>34.172661870503596</v>
      </c>
      <c r="E44" s="11">
        <v>278</v>
      </c>
      <c r="F44" s="24">
        <v>97</v>
      </c>
      <c r="G44" s="12">
        <f t="shared" si="1"/>
        <v>34.89208633093525</v>
      </c>
      <c r="H44" s="9">
        <v>348</v>
      </c>
      <c r="I44" s="24">
        <v>149</v>
      </c>
      <c r="J44" s="10">
        <f t="shared" si="2"/>
        <v>42.816091954022987</v>
      </c>
    </row>
    <row r="45" spans="1:10" ht="16.5" x14ac:dyDescent="0.45">
      <c r="A45" s="22" t="s">
        <v>33</v>
      </c>
      <c r="B45" s="11">
        <v>112</v>
      </c>
      <c r="C45" s="24">
        <v>26</v>
      </c>
      <c r="D45" s="10">
        <f t="shared" si="0"/>
        <v>23.214285714285715</v>
      </c>
      <c r="E45" s="11">
        <v>112</v>
      </c>
      <c r="F45" s="24">
        <v>16</v>
      </c>
      <c r="G45" s="12">
        <f t="shared" si="1"/>
        <v>14.285714285714285</v>
      </c>
      <c r="H45" s="9">
        <v>133</v>
      </c>
      <c r="I45" s="24">
        <v>39</v>
      </c>
      <c r="J45" s="10">
        <f t="shared" si="2"/>
        <v>29.323308270676691</v>
      </c>
    </row>
    <row r="46" spans="1:10" ht="16.5" x14ac:dyDescent="0.45">
      <c r="A46" s="22" t="s">
        <v>13</v>
      </c>
      <c r="B46" s="11">
        <v>403</v>
      </c>
      <c r="C46" s="24">
        <v>144</v>
      </c>
      <c r="D46" s="10">
        <f t="shared" si="0"/>
        <v>35.732009925558309</v>
      </c>
      <c r="E46" s="11">
        <v>403</v>
      </c>
      <c r="F46" s="24">
        <v>98</v>
      </c>
      <c r="G46" s="12">
        <f t="shared" si="1"/>
        <v>24.317617866004962</v>
      </c>
      <c r="H46" s="9">
        <v>254</v>
      </c>
      <c r="I46" s="24">
        <v>117</v>
      </c>
      <c r="J46" s="10">
        <f t="shared" si="2"/>
        <v>46.062992125984252</v>
      </c>
    </row>
    <row r="47" spans="1:10" x14ac:dyDescent="0.35">
      <c r="A47" s="40" t="s">
        <v>59</v>
      </c>
      <c r="B47" s="40"/>
      <c r="C47" s="40"/>
      <c r="D47" s="40"/>
      <c r="E47" s="40"/>
      <c r="F47" s="40"/>
      <c r="G47" s="40"/>
      <c r="H47" s="40"/>
      <c r="I47" s="40"/>
      <c r="J47" s="40"/>
    </row>
    <row r="48" spans="1:10" x14ac:dyDescent="0.35">
      <c r="A48" s="34" t="s">
        <v>51</v>
      </c>
      <c r="B48" s="34"/>
      <c r="C48" s="34"/>
    </row>
    <row r="49" spans="1:3" x14ac:dyDescent="0.35">
      <c r="A49" s="35" t="s">
        <v>52</v>
      </c>
      <c r="B49" s="35"/>
      <c r="C49" s="35"/>
    </row>
  </sheetData>
  <sortState xmlns:xlrd2="http://schemas.microsoft.com/office/spreadsheetml/2017/richdata2" ref="A9:J46">
    <sortCondition ref="A8:A46"/>
  </sortState>
  <mergeCells count="11">
    <mergeCell ref="A1:J1"/>
    <mergeCell ref="A48:C48"/>
    <mergeCell ref="A49:C49"/>
    <mergeCell ref="A2:J3"/>
    <mergeCell ref="A4:J4"/>
    <mergeCell ref="A5:J5"/>
    <mergeCell ref="A47:J47"/>
    <mergeCell ref="A6:A7"/>
    <mergeCell ref="B6:D6"/>
    <mergeCell ref="E6:G6"/>
    <mergeCell ref="H6:J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D11D-95AD-4000-A776-AE0EFBA2D889}">
  <dimension ref="A1:J49"/>
  <sheetViews>
    <sheetView topLeftCell="A36" workbookViewId="0">
      <selection activeCell="M36" sqref="M36"/>
    </sheetView>
  </sheetViews>
  <sheetFormatPr baseColWidth="10" defaultRowHeight="14.5" x14ac:dyDescent="0.35"/>
  <sheetData>
    <row r="1" spans="1:10" x14ac:dyDescent="0.35">
      <c r="A1" s="43" t="s">
        <v>60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35">
      <c r="A2" s="37" t="s">
        <v>58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 ht="18.5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</row>
    <row r="5" spans="1:10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x14ac:dyDescent="0.35">
      <c r="A6" s="44" t="s">
        <v>2</v>
      </c>
      <c r="B6" s="46" t="s">
        <v>55</v>
      </c>
      <c r="C6" s="47"/>
      <c r="D6" s="48"/>
      <c r="E6" s="46" t="s">
        <v>56</v>
      </c>
      <c r="F6" s="47"/>
      <c r="G6" s="48"/>
      <c r="H6" s="46" t="s">
        <v>57</v>
      </c>
      <c r="I6" s="47"/>
      <c r="J6" s="48"/>
    </row>
    <row r="7" spans="1:10" ht="43.5" x14ac:dyDescent="0.35">
      <c r="A7" s="45"/>
      <c r="B7" s="5" t="s">
        <v>42</v>
      </c>
      <c r="C7" s="23" t="s">
        <v>45</v>
      </c>
      <c r="D7" s="19" t="s">
        <v>44</v>
      </c>
      <c r="E7" s="5" t="s">
        <v>42</v>
      </c>
      <c r="F7" s="23" t="s">
        <v>46</v>
      </c>
      <c r="G7" s="19" t="s">
        <v>44</v>
      </c>
      <c r="H7" s="5" t="s">
        <v>42</v>
      </c>
      <c r="I7" s="23" t="s">
        <v>43</v>
      </c>
      <c r="J7" s="5" t="s">
        <v>44</v>
      </c>
    </row>
    <row r="8" spans="1:10" ht="16.5" x14ac:dyDescent="0.45">
      <c r="A8" s="22" t="s">
        <v>26</v>
      </c>
      <c r="B8" s="11">
        <v>499</v>
      </c>
      <c r="C8" s="24">
        <v>109</v>
      </c>
      <c r="D8" s="10">
        <f t="shared" ref="D8:D46" si="0">SUM(C8/B8*100)</f>
        <v>21.8436873747495</v>
      </c>
      <c r="E8" s="11">
        <v>499</v>
      </c>
      <c r="F8" s="24">
        <v>88</v>
      </c>
      <c r="G8" s="12">
        <f t="shared" ref="G8:G46" si="1">SUM(F8/E8*100)</f>
        <v>17.635270541082164</v>
      </c>
      <c r="H8" s="9">
        <v>560</v>
      </c>
      <c r="I8" s="24">
        <v>141</v>
      </c>
      <c r="J8" s="10">
        <f t="shared" ref="J8:J46" si="2">SUM(I8/H8*100)</f>
        <v>25.178571428571427</v>
      </c>
    </row>
    <row r="9" spans="1:10" ht="16.5" x14ac:dyDescent="0.45">
      <c r="A9" s="22" t="s">
        <v>27</v>
      </c>
      <c r="B9" s="11">
        <v>54</v>
      </c>
      <c r="C9" s="24">
        <v>10</v>
      </c>
      <c r="D9" s="10">
        <f t="shared" si="0"/>
        <v>18.518518518518519</v>
      </c>
      <c r="E9" s="11">
        <v>54</v>
      </c>
      <c r="F9" s="24">
        <v>21</v>
      </c>
      <c r="G9" s="12">
        <f t="shared" si="1"/>
        <v>38.888888888888893</v>
      </c>
      <c r="H9" s="9">
        <v>51</v>
      </c>
      <c r="I9" s="24">
        <v>27</v>
      </c>
      <c r="J9" s="10">
        <f t="shared" si="2"/>
        <v>52.941176470588239</v>
      </c>
    </row>
    <row r="10" spans="1:10" ht="29" x14ac:dyDescent="0.45">
      <c r="A10" s="22" t="s">
        <v>34</v>
      </c>
      <c r="B10" s="11">
        <v>61</v>
      </c>
      <c r="C10" s="24">
        <v>8</v>
      </c>
      <c r="D10" s="10">
        <f t="shared" si="0"/>
        <v>13.114754098360656</v>
      </c>
      <c r="E10" s="11">
        <v>61</v>
      </c>
      <c r="F10" s="24">
        <v>18</v>
      </c>
      <c r="G10" s="12">
        <f t="shared" si="1"/>
        <v>29.508196721311474</v>
      </c>
      <c r="H10" s="9">
        <v>105</v>
      </c>
      <c r="I10" s="24">
        <v>16</v>
      </c>
      <c r="J10" s="10">
        <f t="shared" si="2"/>
        <v>15.238095238095239</v>
      </c>
    </row>
    <row r="11" spans="1:10" ht="16.5" x14ac:dyDescent="0.45">
      <c r="A11" s="22" t="s">
        <v>14</v>
      </c>
      <c r="B11" s="11">
        <v>643</v>
      </c>
      <c r="C11" s="24">
        <v>164</v>
      </c>
      <c r="D11" s="10">
        <f t="shared" si="0"/>
        <v>25.505443234836704</v>
      </c>
      <c r="E11" s="11">
        <v>643</v>
      </c>
      <c r="F11" s="24">
        <v>117</v>
      </c>
      <c r="G11" s="12">
        <f t="shared" si="1"/>
        <v>18.195956454121305</v>
      </c>
      <c r="H11" s="9">
        <v>843</v>
      </c>
      <c r="I11" s="24">
        <v>136</v>
      </c>
      <c r="J11" s="10">
        <f t="shared" si="2"/>
        <v>16.132858837485173</v>
      </c>
    </row>
    <row r="12" spans="1:10" ht="16.5" x14ac:dyDescent="0.45">
      <c r="A12" s="22" t="s">
        <v>3</v>
      </c>
      <c r="B12" s="11">
        <v>8431</v>
      </c>
      <c r="C12" s="25">
        <v>2760</v>
      </c>
      <c r="D12" s="10">
        <f t="shared" si="0"/>
        <v>32.73633020993951</v>
      </c>
      <c r="E12" s="11">
        <v>8431</v>
      </c>
      <c r="F12" s="27">
        <v>4713</v>
      </c>
      <c r="G12" s="12">
        <f t="shared" si="1"/>
        <v>55.900842130233663</v>
      </c>
      <c r="H12" s="8">
        <v>10719</v>
      </c>
      <c r="I12" s="27">
        <v>7088</v>
      </c>
      <c r="J12" s="10">
        <f t="shared" si="2"/>
        <v>66.125571415243954</v>
      </c>
    </row>
    <row r="13" spans="1:10" ht="16.5" x14ac:dyDescent="0.45">
      <c r="A13" s="22" t="s">
        <v>35</v>
      </c>
      <c r="B13" s="11">
        <v>117</v>
      </c>
      <c r="C13" s="24">
        <v>27</v>
      </c>
      <c r="D13" s="10">
        <f t="shared" si="0"/>
        <v>23.076923076923077</v>
      </c>
      <c r="E13" s="11">
        <v>117</v>
      </c>
      <c r="F13" s="24">
        <v>25</v>
      </c>
      <c r="G13" s="12">
        <f t="shared" si="1"/>
        <v>21.367521367521366</v>
      </c>
      <c r="H13" s="9">
        <v>64</v>
      </c>
      <c r="I13" s="24">
        <v>43</v>
      </c>
      <c r="J13" s="10">
        <f t="shared" si="2"/>
        <v>67.1875</v>
      </c>
    </row>
    <row r="14" spans="1:10" ht="43.5" x14ac:dyDescent="0.45">
      <c r="A14" s="22" t="s">
        <v>15</v>
      </c>
      <c r="B14" s="11">
        <v>236</v>
      </c>
      <c r="C14" s="24">
        <v>59</v>
      </c>
      <c r="D14" s="10">
        <f t="shared" si="0"/>
        <v>25</v>
      </c>
      <c r="E14" s="11">
        <v>236</v>
      </c>
      <c r="F14" s="24">
        <v>62</v>
      </c>
      <c r="G14" s="12">
        <f t="shared" si="1"/>
        <v>26.271186440677969</v>
      </c>
      <c r="H14" s="9">
        <v>231</v>
      </c>
      <c r="I14" s="24">
        <v>79</v>
      </c>
      <c r="J14" s="10">
        <f t="shared" si="2"/>
        <v>34.1991341991342</v>
      </c>
    </row>
    <row r="15" spans="1:10" ht="29" x14ac:dyDescent="0.45">
      <c r="A15" s="22" t="s">
        <v>16</v>
      </c>
      <c r="B15" s="11">
        <v>5736</v>
      </c>
      <c r="C15" s="24">
        <v>1262</v>
      </c>
      <c r="D15" s="10">
        <f t="shared" si="0"/>
        <v>22.001394700139471</v>
      </c>
      <c r="E15" s="11">
        <v>5736</v>
      </c>
      <c r="F15" s="24">
        <v>997</v>
      </c>
      <c r="G15" s="12">
        <f t="shared" si="1"/>
        <v>17.381450488145049</v>
      </c>
      <c r="H15" s="9">
        <v>6878</v>
      </c>
      <c r="I15" s="24">
        <v>976</v>
      </c>
      <c r="J15" s="10">
        <f t="shared" si="2"/>
        <v>14.190171561500437</v>
      </c>
    </row>
    <row r="16" spans="1:10" ht="29" x14ac:dyDescent="0.45">
      <c r="A16" s="22" t="s">
        <v>4</v>
      </c>
      <c r="B16" s="11">
        <v>576</v>
      </c>
      <c r="C16" s="29">
        <v>179</v>
      </c>
      <c r="D16" s="10">
        <f t="shared" si="0"/>
        <v>31.076388888888889</v>
      </c>
      <c r="E16" s="11">
        <v>576</v>
      </c>
      <c r="F16" s="24">
        <v>165</v>
      </c>
      <c r="G16" s="12">
        <f t="shared" si="1"/>
        <v>28.645833333333332</v>
      </c>
      <c r="H16" s="9">
        <v>657</v>
      </c>
      <c r="I16" s="24">
        <v>213</v>
      </c>
      <c r="J16" s="10">
        <f t="shared" si="2"/>
        <v>32.420091324200911</v>
      </c>
    </row>
    <row r="17" spans="1:10" ht="16.5" x14ac:dyDescent="0.45">
      <c r="A17" s="22" t="s">
        <v>28</v>
      </c>
      <c r="B17" s="11">
        <v>137</v>
      </c>
      <c r="C17" s="24">
        <v>24</v>
      </c>
      <c r="D17" s="10">
        <f t="shared" si="0"/>
        <v>17.518248175182482</v>
      </c>
      <c r="E17" s="11">
        <v>137</v>
      </c>
      <c r="F17" s="24">
        <v>18</v>
      </c>
      <c r="G17" s="12">
        <f t="shared" si="1"/>
        <v>13.138686131386862</v>
      </c>
      <c r="H17" s="9">
        <v>184</v>
      </c>
      <c r="I17" s="24">
        <v>14</v>
      </c>
      <c r="J17" s="10">
        <f t="shared" si="2"/>
        <v>7.608695652173914</v>
      </c>
    </row>
    <row r="18" spans="1:10" ht="16.5" x14ac:dyDescent="0.45">
      <c r="A18" s="22" t="s">
        <v>36</v>
      </c>
      <c r="B18" s="11">
        <v>62</v>
      </c>
      <c r="C18" s="24">
        <v>5</v>
      </c>
      <c r="D18" s="10">
        <f t="shared" si="0"/>
        <v>8.064516129032258</v>
      </c>
      <c r="E18" s="11">
        <v>62</v>
      </c>
      <c r="F18" s="24">
        <v>13</v>
      </c>
      <c r="G18" s="12">
        <f t="shared" si="1"/>
        <v>20.967741935483872</v>
      </c>
      <c r="H18" s="9">
        <v>69</v>
      </c>
      <c r="I18" s="24">
        <v>16</v>
      </c>
      <c r="J18" s="10">
        <f t="shared" si="2"/>
        <v>23.188405797101449</v>
      </c>
    </row>
    <row r="19" spans="1:10" ht="16.5" x14ac:dyDescent="0.45">
      <c r="A19" s="22" t="s">
        <v>37</v>
      </c>
      <c r="B19" s="11">
        <v>62</v>
      </c>
      <c r="C19" s="24">
        <v>9</v>
      </c>
      <c r="D19" s="10">
        <f t="shared" si="0"/>
        <v>14.516129032258066</v>
      </c>
      <c r="E19" s="11">
        <v>62</v>
      </c>
      <c r="F19" s="24">
        <v>9</v>
      </c>
      <c r="G19" s="12">
        <f t="shared" si="1"/>
        <v>14.516129032258066</v>
      </c>
      <c r="H19" s="9">
        <v>75</v>
      </c>
      <c r="I19" s="24">
        <v>16</v>
      </c>
      <c r="J19" s="10">
        <f t="shared" si="2"/>
        <v>21.333333333333336</v>
      </c>
    </row>
    <row r="20" spans="1:10" ht="16.5" x14ac:dyDescent="0.45">
      <c r="A20" s="22" t="s">
        <v>17</v>
      </c>
      <c r="B20" s="11">
        <v>2230</v>
      </c>
      <c r="C20" s="24">
        <v>619</v>
      </c>
      <c r="D20" s="10">
        <f t="shared" si="0"/>
        <v>27.757847533632287</v>
      </c>
      <c r="E20" s="11">
        <v>2230</v>
      </c>
      <c r="F20" s="24">
        <v>901</v>
      </c>
      <c r="G20" s="12">
        <f t="shared" si="1"/>
        <v>40.403587443946186</v>
      </c>
      <c r="H20" s="9">
        <v>2609</v>
      </c>
      <c r="I20" s="24">
        <v>713</v>
      </c>
      <c r="J20" s="10">
        <f t="shared" si="2"/>
        <v>27.328478344193179</v>
      </c>
    </row>
    <row r="21" spans="1:10" ht="16.5" x14ac:dyDescent="0.45">
      <c r="A21" s="22" t="s">
        <v>18</v>
      </c>
      <c r="B21" s="11">
        <v>543</v>
      </c>
      <c r="C21" s="24">
        <v>134</v>
      </c>
      <c r="D21" s="10">
        <f t="shared" si="0"/>
        <v>24.677716390423573</v>
      </c>
      <c r="E21" s="11">
        <v>543</v>
      </c>
      <c r="F21" s="24">
        <v>132</v>
      </c>
      <c r="G21" s="12">
        <f t="shared" si="1"/>
        <v>24.30939226519337</v>
      </c>
      <c r="H21" s="9">
        <v>634</v>
      </c>
      <c r="I21" s="24">
        <v>187</v>
      </c>
      <c r="J21" s="10">
        <f t="shared" si="2"/>
        <v>29.495268138801261</v>
      </c>
    </row>
    <row r="22" spans="1:10" ht="16.5" x14ac:dyDescent="0.45">
      <c r="A22" s="22" t="s">
        <v>5</v>
      </c>
      <c r="B22" s="11">
        <v>1425</v>
      </c>
      <c r="C22" s="24">
        <v>275</v>
      </c>
      <c r="D22" s="10">
        <f t="shared" si="0"/>
        <v>19.298245614035086</v>
      </c>
      <c r="E22" s="11">
        <v>1425</v>
      </c>
      <c r="F22" s="24">
        <v>210</v>
      </c>
      <c r="G22" s="12">
        <f t="shared" si="1"/>
        <v>14.736842105263156</v>
      </c>
      <c r="H22" s="9">
        <v>1082</v>
      </c>
      <c r="I22" s="24">
        <v>247</v>
      </c>
      <c r="J22" s="10">
        <f t="shared" si="2"/>
        <v>22.828096118299445</v>
      </c>
    </row>
    <row r="23" spans="1:10" ht="16.5" x14ac:dyDescent="0.45">
      <c r="A23" s="22" t="s">
        <v>19</v>
      </c>
      <c r="B23" s="11">
        <v>284</v>
      </c>
      <c r="C23" s="24">
        <v>83</v>
      </c>
      <c r="D23" s="10">
        <f t="shared" si="0"/>
        <v>29.225352112676056</v>
      </c>
      <c r="E23" s="11">
        <v>284</v>
      </c>
      <c r="F23" s="24">
        <v>74</v>
      </c>
      <c r="G23" s="12">
        <f t="shared" si="1"/>
        <v>26.056338028169012</v>
      </c>
      <c r="H23" s="9">
        <v>376</v>
      </c>
      <c r="I23" s="24">
        <v>142</v>
      </c>
      <c r="J23" s="10">
        <f t="shared" si="2"/>
        <v>37.765957446808514</v>
      </c>
    </row>
    <row r="24" spans="1:10" ht="29" x14ac:dyDescent="0.45">
      <c r="A24" s="22" t="s">
        <v>6</v>
      </c>
      <c r="B24" s="11">
        <v>488</v>
      </c>
      <c r="C24" s="24">
        <v>70</v>
      </c>
      <c r="D24" s="10">
        <f t="shared" si="0"/>
        <v>14.344262295081966</v>
      </c>
      <c r="E24" s="11">
        <v>488</v>
      </c>
      <c r="F24" s="24">
        <v>81</v>
      </c>
      <c r="G24" s="12">
        <f t="shared" si="1"/>
        <v>16.598360655737704</v>
      </c>
      <c r="H24" s="9">
        <v>514</v>
      </c>
      <c r="I24" s="24">
        <v>111</v>
      </c>
      <c r="J24" s="10">
        <f t="shared" si="2"/>
        <v>21.595330739299612</v>
      </c>
    </row>
    <row r="25" spans="1:10" ht="16.5" x14ac:dyDescent="0.45">
      <c r="A25" s="22" t="s">
        <v>29</v>
      </c>
      <c r="B25" s="11">
        <v>443</v>
      </c>
      <c r="C25" s="24">
        <v>218</v>
      </c>
      <c r="D25" s="10">
        <f t="shared" si="0"/>
        <v>49.209932279909708</v>
      </c>
      <c r="E25" s="11">
        <v>443</v>
      </c>
      <c r="F25" s="24">
        <v>235</v>
      </c>
      <c r="G25" s="12">
        <f t="shared" si="1"/>
        <v>53.04740406320542</v>
      </c>
      <c r="H25" s="9">
        <v>425</v>
      </c>
      <c r="I25" s="24">
        <v>201</v>
      </c>
      <c r="J25" s="10">
        <f t="shared" si="2"/>
        <v>47.294117647058826</v>
      </c>
    </row>
    <row r="26" spans="1:10" ht="16.5" x14ac:dyDescent="0.45">
      <c r="A26" s="22" t="s">
        <v>38</v>
      </c>
      <c r="B26" s="11">
        <v>130</v>
      </c>
      <c r="C26" s="24">
        <v>25</v>
      </c>
      <c r="D26" s="10">
        <f t="shared" si="0"/>
        <v>19.230769230769234</v>
      </c>
      <c r="E26" s="11">
        <v>130</v>
      </c>
      <c r="F26" s="24">
        <v>22</v>
      </c>
      <c r="G26" s="12">
        <f t="shared" si="1"/>
        <v>16.923076923076923</v>
      </c>
      <c r="H26" s="9">
        <v>123</v>
      </c>
      <c r="I26" s="24">
        <v>52</v>
      </c>
      <c r="J26" s="10">
        <f t="shared" si="2"/>
        <v>42.276422764227647</v>
      </c>
    </row>
    <row r="27" spans="1:10" ht="16.5" x14ac:dyDescent="0.45">
      <c r="A27" s="22" t="s">
        <v>30</v>
      </c>
      <c r="B27" s="11">
        <v>99</v>
      </c>
      <c r="C27" s="24">
        <v>14</v>
      </c>
      <c r="D27" s="10">
        <f t="shared" si="0"/>
        <v>14.14141414141414</v>
      </c>
      <c r="E27" s="11">
        <v>99</v>
      </c>
      <c r="F27" s="24">
        <v>20</v>
      </c>
      <c r="G27" s="12">
        <f t="shared" si="1"/>
        <v>20.202020202020201</v>
      </c>
      <c r="H27" s="9">
        <v>95</v>
      </c>
      <c r="I27" s="24">
        <v>19</v>
      </c>
      <c r="J27" s="10">
        <f t="shared" si="2"/>
        <v>20</v>
      </c>
    </row>
    <row r="28" spans="1:10" ht="29" x14ac:dyDescent="0.45">
      <c r="A28" s="22" t="s">
        <v>7</v>
      </c>
      <c r="B28" s="11">
        <v>224</v>
      </c>
      <c r="C28" s="24">
        <v>32</v>
      </c>
      <c r="D28" s="10">
        <f t="shared" si="0"/>
        <v>14.285714285714285</v>
      </c>
      <c r="E28" s="11">
        <v>224</v>
      </c>
      <c r="F28" s="24">
        <v>62</v>
      </c>
      <c r="G28" s="12">
        <f t="shared" si="1"/>
        <v>27.678571428571431</v>
      </c>
      <c r="H28" s="9">
        <v>243</v>
      </c>
      <c r="I28" s="24">
        <v>122</v>
      </c>
      <c r="J28" s="10">
        <f t="shared" si="2"/>
        <v>50.205761316872433</v>
      </c>
    </row>
    <row r="29" spans="1:10" ht="29" x14ac:dyDescent="0.45">
      <c r="A29" s="22" t="s">
        <v>20</v>
      </c>
      <c r="B29" s="11">
        <v>220</v>
      </c>
      <c r="C29" s="24">
        <v>42</v>
      </c>
      <c r="D29" s="10">
        <f t="shared" si="0"/>
        <v>19.090909090909093</v>
      </c>
      <c r="E29" s="11">
        <v>220</v>
      </c>
      <c r="F29" s="24">
        <v>70</v>
      </c>
      <c r="G29" s="12">
        <f t="shared" si="1"/>
        <v>31.818181818181817</v>
      </c>
      <c r="H29" s="9">
        <v>212</v>
      </c>
      <c r="I29" s="24">
        <v>136</v>
      </c>
      <c r="J29" s="10">
        <f t="shared" si="2"/>
        <v>64.15094339622641</v>
      </c>
    </row>
    <row r="30" spans="1:10" ht="16.5" x14ac:dyDescent="0.45">
      <c r="A30" s="22" t="s">
        <v>8</v>
      </c>
      <c r="B30" s="11">
        <v>135</v>
      </c>
      <c r="C30" s="24">
        <v>50</v>
      </c>
      <c r="D30" s="10">
        <f t="shared" si="0"/>
        <v>37.037037037037038</v>
      </c>
      <c r="E30" s="11">
        <v>135</v>
      </c>
      <c r="F30" s="24">
        <v>35</v>
      </c>
      <c r="G30" s="12">
        <f t="shared" si="1"/>
        <v>25.925925925925924</v>
      </c>
      <c r="H30" s="9">
        <v>190</v>
      </c>
      <c r="I30" s="24">
        <v>64</v>
      </c>
      <c r="J30" s="10">
        <f t="shared" si="2"/>
        <v>33.684210526315788</v>
      </c>
    </row>
    <row r="31" spans="1:10" ht="29" x14ac:dyDescent="0.45">
      <c r="A31" s="22" t="s">
        <v>9</v>
      </c>
      <c r="B31" s="11">
        <v>1283</v>
      </c>
      <c r="C31" s="24">
        <v>222</v>
      </c>
      <c r="D31" s="10">
        <f t="shared" si="0"/>
        <v>17.30319563522993</v>
      </c>
      <c r="E31" s="11">
        <v>1283</v>
      </c>
      <c r="F31" s="24">
        <v>167</v>
      </c>
      <c r="G31" s="12">
        <f t="shared" si="1"/>
        <v>13.016367887763055</v>
      </c>
      <c r="H31" s="9">
        <v>1399</v>
      </c>
      <c r="I31" s="24">
        <v>228</v>
      </c>
      <c r="J31" s="10">
        <f t="shared" si="2"/>
        <v>16.297355253752681</v>
      </c>
    </row>
    <row r="32" spans="1:10" ht="16.5" x14ac:dyDescent="0.45">
      <c r="A32" s="22" t="s">
        <v>39</v>
      </c>
      <c r="B32" s="11">
        <v>259</v>
      </c>
      <c r="C32" s="24">
        <v>54</v>
      </c>
      <c r="D32" s="10">
        <f t="shared" si="0"/>
        <v>20.849420849420849</v>
      </c>
      <c r="E32" s="11">
        <v>259</v>
      </c>
      <c r="F32" s="24">
        <v>57</v>
      </c>
      <c r="G32" s="12">
        <f t="shared" si="1"/>
        <v>22.007722007722009</v>
      </c>
      <c r="H32" s="9">
        <v>208</v>
      </c>
      <c r="I32" s="24">
        <v>38</v>
      </c>
      <c r="J32" s="10">
        <f t="shared" si="2"/>
        <v>18.269230769230766</v>
      </c>
    </row>
    <row r="33" spans="1:10" ht="29" x14ac:dyDescent="0.45">
      <c r="A33" s="22" t="s">
        <v>40</v>
      </c>
      <c r="B33" s="11">
        <v>36</v>
      </c>
      <c r="C33" s="24">
        <v>5</v>
      </c>
      <c r="D33" s="10">
        <f t="shared" si="0"/>
        <v>13.888888888888889</v>
      </c>
      <c r="E33" s="11">
        <v>36</v>
      </c>
      <c r="F33" s="24">
        <v>4</v>
      </c>
      <c r="G33" s="12">
        <f t="shared" si="1"/>
        <v>11.111111111111111</v>
      </c>
      <c r="H33" s="9">
        <v>36</v>
      </c>
      <c r="I33" s="24">
        <v>12</v>
      </c>
      <c r="J33" s="10">
        <f t="shared" si="2"/>
        <v>33.333333333333329</v>
      </c>
    </row>
    <row r="34" spans="1:10" ht="16.5" x14ac:dyDescent="0.45">
      <c r="A34" s="22" t="s">
        <v>10</v>
      </c>
      <c r="B34" s="11">
        <v>581</v>
      </c>
      <c r="C34" s="24">
        <v>84</v>
      </c>
      <c r="D34" s="10">
        <f t="shared" si="0"/>
        <v>14.457831325301203</v>
      </c>
      <c r="E34" s="11">
        <v>581</v>
      </c>
      <c r="F34" s="24">
        <v>96</v>
      </c>
      <c r="G34" s="12">
        <f t="shared" si="1"/>
        <v>16.523235800344235</v>
      </c>
      <c r="H34" s="9">
        <v>608</v>
      </c>
      <c r="I34" s="24">
        <v>91</v>
      </c>
      <c r="J34" s="10">
        <f t="shared" si="2"/>
        <v>14.967105263157896</v>
      </c>
    </row>
    <row r="35" spans="1:10" ht="29" x14ac:dyDescent="0.45">
      <c r="A35" s="22" t="s">
        <v>41</v>
      </c>
      <c r="B35" s="11">
        <v>129</v>
      </c>
      <c r="C35" s="24">
        <v>33</v>
      </c>
      <c r="D35" s="10">
        <f t="shared" si="0"/>
        <v>25.581395348837212</v>
      </c>
      <c r="E35" s="11">
        <v>129</v>
      </c>
      <c r="F35" s="24">
        <v>53</v>
      </c>
      <c r="G35" s="12">
        <f t="shared" si="1"/>
        <v>41.085271317829459</v>
      </c>
      <c r="H35" s="9">
        <v>153</v>
      </c>
      <c r="I35" s="24">
        <v>53</v>
      </c>
      <c r="J35" s="10">
        <f t="shared" si="2"/>
        <v>34.640522875816991</v>
      </c>
    </row>
    <row r="36" spans="1:10" ht="29" x14ac:dyDescent="0.45">
      <c r="A36" s="22" t="s">
        <v>21</v>
      </c>
      <c r="B36" s="11">
        <v>228</v>
      </c>
      <c r="C36" s="24">
        <v>39</v>
      </c>
      <c r="D36" s="10">
        <f t="shared" si="0"/>
        <v>17.105263157894736</v>
      </c>
      <c r="E36" s="11">
        <v>228</v>
      </c>
      <c r="F36" s="24">
        <v>32</v>
      </c>
      <c r="G36" s="12">
        <f t="shared" si="1"/>
        <v>14.035087719298245</v>
      </c>
      <c r="H36" s="9">
        <v>219</v>
      </c>
      <c r="I36" s="24">
        <v>51</v>
      </c>
      <c r="J36" s="10">
        <f t="shared" si="2"/>
        <v>23.287671232876711</v>
      </c>
    </row>
    <row r="37" spans="1:10" ht="29" x14ac:dyDescent="0.45">
      <c r="A37" s="22" t="s">
        <v>22</v>
      </c>
      <c r="B37" s="11">
        <v>33</v>
      </c>
      <c r="C37" s="24">
        <v>24</v>
      </c>
      <c r="D37" s="10">
        <f t="shared" si="0"/>
        <v>72.727272727272734</v>
      </c>
      <c r="E37" s="11">
        <v>33</v>
      </c>
      <c r="F37" s="24">
        <v>11</v>
      </c>
      <c r="G37" s="12">
        <f t="shared" si="1"/>
        <v>33.333333333333329</v>
      </c>
      <c r="H37" s="9">
        <v>38</v>
      </c>
      <c r="I37" s="24">
        <v>11</v>
      </c>
      <c r="J37" s="10">
        <f t="shared" si="2"/>
        <v>28.947368421052634</v>
      </c>
    </row>
    <row r="38" spans="1:10" ht="29" x14ac:dyDescent="0.45">
      <c r="A38" s="22" t="s">
        <v>23</v>
      </c>
      <c r="B38" s="11">
        <v>38</v>
      </c>
      <c r="C38" s="24">
        <v>10</v>
      </c>
      <c r="D38" s="10">
        <f t="shared" si="0"/>
        <v>26.315789473684209</v>
      </c>
      <c r="E38" s="11">
        <v>38</v>
      </c>
      <c r="F38" s="24">
        <v>5</v>
      </c>
      <c r="G38" s="12">
        <f t="shared" si="1"/>
        <v>13.157894736842104</v>
      </c>
      <c r="H38" s="9">
        <v>41</v>
      </c>
      <c r="I38" s="24">
        <v>9</v>
      </c>
      <c r="J38" s="10">
        <f t="shared" si="2"/>
        <v>21.951219512195124</v>
      </c>
    </row>
    <row r="39" spans="1:10" ht="16.5" x14ac:dyDescent="0.45">
      <c r="A39" s="22" t="s">
        <v>24</v>
      </c>
      <c r="B39" s="11">
        <v>130</v>
      </c>
      <c r="C39" s="24">
        <v>15</v>
      </c>
      <c r="D39" s="10">
        <f t="shared" si="0"/>
        <v>11.538461538461538</v>
      </c>
      <c r="E39" s="11">
        <v>130</v>
      </c>
      <c r="F39" s="24">
        <v>41</v>
      </c>
      <c r="G39" s="12">
        <f t="shared" si="1"/>
        <v>31.538461538461537</v>
      </c>
      <c r="H39" s="9">
        <v>140</v>
      </c>
      <c r="I39" s="24">
        <v>43</v>
      </c>
      <c r="J39" s="10">
        <f t="shared" si="2"/>
        <v>30.714285714285715</v>
      </c>
    </row>
    <row r="40" spans="1:10" ht="43.5" x14ac:dyDescent="0.45">
      <c r="A40" s="22" t="s">
        <v>31</v>
      </c>
      <c r="B40" s="11">
        <v>1467</v>
      </c>
      <c r="C40" s="24">
        <v>190</v>
      </c>
      <c r="D40" s="10">
        <f t="shared" si="0"/>
        <v>12.951601908657123</v>
      </c>
      <c r="E40" s="11">
        <v>1467</v>
      </c>
      <c r="F40" s="24">
        <v>264</v>
      </c>
      <c r="G40" s="12">
        <f t="shared" si="1"/>
        <v>17.995910020449898</v>
      </c>
      <c r="H40" s="9">
        <v>1144</v>
      </c>
      <c r="I40" s="24">
        <v>167</v>
      </c>
      <c r="J40" s="10">
        <f t="shared" si="2"/>
        <v>14.597902097902098</v>
      </c>
    </row>
    <row r="41" spans="1:10" ht="16.5" x14ac:dyDescent="0.45">
      <c r="A41" s="22" t="s">
        <v>11</v>
      </c>
      <c r="B41" s="11">
        <v>166</v>
      </c>
      <c r="C41" s="24">
        <v>23</v>
      </c>
      <c r="D41" s="10">
        <f t="shared" si="0"/>
        <v>13.855421686746988</v>
      </c>
      <c r="E41" s="11">
        <v>166</v>
      </c>
      <c r="F41" s="24">
        <v>39</v>
      </c>
      <c r="G41" s="12">
        <f t="shared" si="1"/>
        <v>23.493975903614459</v>
      </c>
      <c r="H41" s="9">
        <v>177</v>
      </c>
      <c r="I41" s="24">
        <v>57</v>
      </c>
      <c r="J41" s="10">
        <f t="shared" si="2"/>
        <v>32.20338983050847</v>
      </c>
    </row>
    <row r="42" spans="1:10" ht="16.5" x14ac:dyDescent="0.45">
      <c r="A42" s="22" t="s">
        <v>12</v>
      </c>
      <c r="B42" s="11">
        <v>952</v>
      </c>
      <c r="C42" s="24">
        <v>91</v>
      </c>
      <c r="D42" s="10">
        <f t="shared" si="0"/>
        <v>9.5588235294117645</v>
      </c>
      <c r="E42" s="11">
        <v>952</v>
      </c>
      <c r="F42" s="24">
        <v>94</v>
      </c>
      <c r="G42" s="12">
        <f t="shared" si="1"/>
        <v>9.8739495798319332</v>
      </c>
      <c r="H42" s="9">
        <v>851</v>
      </c>
      <c r="I42" s="24">
        <v>166</v>
      </c>
      <c r="J42" s="10">
        <f t="shared" si="2"/>
        <v>19.506462984723854</v>
      </c>
    </row>
    <row r="43" spans="1:10" ht="29" x14ac:dyDescent="0.45">
      <c r="A43" s="22" t="s">
        <v>32</v>
      </c>
      <c r="B43" s="11">
        <v>30</v>
      </c>
      <c r="C43" s="24">
        <v>32</v>
      </c>
      <c r="D43" s="10">
        <f t="shared" si="0"/>
        <v>106.66666666666667</v>
      </c>
      <c r="E43" s="11">
        <v>30</v>
      </c>
      <c r="F43" s="24">
        <v>32</v>
      </c>
      <c r="G43" s="12">
        <f t="shared" si="1"/>
        <v>106.66666666666667</v>
      </c>
      <c r="H43" s="9">
        <v>50</v>
      </c>
      <c r="I43" s="24">
        <v>44</v>
      </c>
      <c r="J43" s="10">
        <f t="shared" si="2"/>
        <v>88</v>
      </c>
    </row>
    <row r="44" spans="1:10" ht="16.5" x14ac:dyDescent="0.45">
      <c r="A44" s="22" t="s">
        <v>25</v>
      </c>
      <c r="B44" s="11">
        <v>278</v>
      </c>
      <c r="C44" s="24">
        <v>95</v>
      </c>
      <c r="D44" s="10">
        <f t="shared" si="0"/>
        <v>34.172661870503596</v>
      </c>
      <c r="E44" s="11">
        <v>278</v>
      </c>
      <c r="F44" s="24">
        <v>97</v>
      </c>
      <c r="G44" s="12">
        <f t="shared" si="1"/>
        <v>34.89208633093525</v>
      </c>
      <c r="H44" s="9">
        <v>348</v>
      </c>
      <c r="I44" s="24">
        <v>149</v>
      </c>
      <c r="J44" s="10">
        <f t="shared" si="2"/>
        <v>42.816091954022987</v>
      </c>
    </row>
    <row r="45" spans="1:10" ht="16.5" x14ac:dyDescent="0.45">
      <c r="A45" s="22" t="s">
        <v>33</v>
      </c>
      <c r="B45" s="11">
        <v>112</v>
      </c>
      <c r="C45" s="24">
        <v>26</v>
      </c>
      <c r="D45" s="10">
        <f t="shared" si="0"/>
        <v>23.214285714285715</v>
      </c>
      <c r="E45" s="11">
        <v>112</v>
      </c>
      <c r="F45" s="24">
        <v>16</v>
      </c>
      <c r="G45" s="12">
        <f t="shared" si="1"/>
        <v>14.285714285714285</v>
      </c>
      <c r="H45" s="9">
        <v>133</v>
      </c>
      <c r="I45" s="24">
        <v>39</v>
      </c>
      <c r="J45" s="10">
        <f t="shared" si="2"/>
        <v>29.323308270676691</v>
      </c>
    </row>
    <row r="46" spans="1:10" ht="29" x14ac:dyDescent="0.45">
      <c r="A46" s="22" t="s">
        <v>13</v>
      </c>
      <c r="B46" s="11">
        <v>403</v>
      </c>
      <c r="C46" s="24">
        <v>146</v>
      </c>
      <c r="D46" s="10">
        <f t="shared" si="0"/>
        <v>36.228287841191062</v>
      </c>
      <c r="E46" s="11">
        <v>403</v>
      </c>
      <c r="F46" s="24">
        <v>102</v>
      </c>
      <c r="G46" s="12">
        <f t="shared" si="1"/>
        <v>25.310173697270471</v>
      </c>
      <c r="H46" s="9">
        <v>254</v>
      </c>
      <c r="I46" s="24">
        <v>123</v>
      </c>
      <c r="J46" s="10">
        <f t="shared" si="2"/>
        <v>48.425196850393696</v>
      </c>
    </row>
    <row r="47" spans="1:10" x14ac:dyDescent="0.35">
      <c r="A47" s="40" t="s">
        <v>59</v>
      </c>
      <c r="B47" s="40"/>
      <c r="C47" s="40"/>
      <c r="D47" s="40"/>
      <c r="E47" s="40"/>
      <c r="F47" s="40"/>
      <c r="G47" s="40"/>
      <c r="H47" s="40"/>
      <c r="I47" s="40"/>
      <c r="J47" s="40"/>
    </row>
    <row r="48" spans="1:10" x14ac:dyDescent="0.35">
      <c r="A48" s="34" t="s">
        <v>51</v>
      </c>
      <c r="B48" s="34"/>
      <c r="C48" s="34"/>
      <c r="F48" s="26"/>
      <c r="I48" s="26"/>
    </row>
    <row r="49" spans="1:9" x14ac:dyDescent="0.35">
      <c r="A49" s="35" t="s">
        <v>52</v>
      </c>
      <c r="B49" s="35"/>
      <c r="C49" s="35"/>
      <c r="F49" s="26"/>
      <c r="I49" s="26"/>
    </row>
  </sheetData>
  <mergeCells count="11">
    <mergeCell ref="A47:J47"/>
    <mergeCell ref="A48:C48"/>
    <mergeCell ref="A49:C49"/>
    <mergeCell ref="A1:J1"/>
    <mergeCell ref="A2:J3"/>
    <mergeCell ref="A4:J4"/>
    <mergeCell ref="A5:J5"/>
    <mergeCell ref="A6:A7"/>
    <mergeCell ref="B6:D6"/>
    <mergeCell ref="E6:G6"/>
    <mergeCell ref="H6:J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56D2-2A07-4B91-B730-35E30D73E99E}">
  <dimension ref="A1:J49"/>
  <sheetViews>
    <sheetView topLeftCell="A40" workbookViewId="0">
      <selection activeCell="M36" sqref="M36"/>
    </sheetView>
  </sheetViews>
  <sheetFormatPr baseColWidth="10" defaultRowHeight="14.5" x14ac:dyDescent="0.35"/>
  <sheetData>
    <row r="1" spans="1:10" x14ac:dyDescent="0.35">
      <c r="A1" s="43" t="s">
        <v>60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35">
      <c r="A2" s="37" t="s">
        <v>58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 ht="18.5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</row>
    <row r="5" spans="1:10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x14ac:dyDescent="0.35">
      <c r="A6" s="44" t="s">
        <v>2</v>
      </c>
      <c r="B6" s="46" t="s">
        <v>55</v>
      </c>
      <c r="C6" s="47"/>
      <c r="D6" s="48"/>
      <c r="E6" s="46" t="s">
        <v>56</v>
      </c>
      <c r="F6" s="47"/>
      <c r="G6" s="48"/>
      <c r="H6" s="46" t="s">
        <v>57</v>
      </c>
      <c r="I6" s="47"/>
      <c r="J6" s="48"/>
    </row>
    <row r="7" spans="1:10" ht="43.5" x14ac:dyDescent="0.35">
      <c r="A7" s="45"/>
      <c r="B7" s="5" t="s">
        <v>42</v>
      </c>
      <c r="C7" s="23" t="s">
        <v>45</v>
      </c>
      <c r="D7" s="21" t="s">
        <v>44</v>
      </c>
      <c r="E7" s="5" t="s">
        <v>42</v>
      </c>
      <c r="F7" s="23" t="s">
        <v>46</v>
      </c>
      <c r="G7" s="21" t="s">
        <v>44</v>
      </c>
      <c r="H7" s="5" t="s">
        <v>42</v>
      </c>
      <c r="I7" s="23" t="s">
        <v>43</v>
      </c>
      <c r="J7" s="5" t="s">
        <v>44</v>
      </c>
    </row>
    <row r="8" spans="1:10" ht="16.5" x14ac:dyDescent="0.45">
      <c r="A8" s="22" t="s">
        <v>26</v>
      </c>
      <c r="B8" s="11">
        <v>499</v>
      </c>
      <c r="C8" s="24">
        <v>127</v>
      </c>
      <c r="D8" s="10">
        <f t="shared" ref="D8:D46" si="0">SUM(C8/B8*100)</f>
        <v>25.450901803607213</v>
      </c>
      <c r="E8" s="11">
        <v>499</v>
      </c>
      <c r="F8" s="24">
        <v>93</v>
      </c>
      <c r="G8" s="12">
        <f t="shared" ref="G8:G46" si="1">SUM(F8/E8*100)</f>
        <v>18.637274549098194</v>
      </c>
      <c r="H8" s="9">
        <v>560</v>
      </c>
      <c r="I8" s="24">
        <v>149</v>
      </c>
      <c r="J8" s="10">
        <f t="shared" ref="J8:J46" si="2">SUM(I8/H8*100)</f>
        <v>26.607142857142858</v>
      </c>
    </row>
    <row r="9" spans="1:10" ht="16.5" x14ac:dyDescent="0.45">
      <c r="A9" s="22" t="s">
        <v>27</v>
      </c>
      <c r="B9" s="11">
        <v>54</v>
      </c>
      <c r="C9" s="24">
        <v>10</v>
      </c>
      <c r="D9" s="10">
        <f t="shared" si="0"/>
        <v>18.518518518518519</v>
      </c>
      <c r="E9" s="11">
        <v>54</v>
      </c>
      <c r="F9" s="24">
        <v>21</v>
      </c>
      <c r="G9" s="12">
        <f t="shared" si="1"/>
        <v>38.888888888888893</v>
      </c>
      <c r="H9" s="9">
        <v>51</v>
      </c>
      <c r="I9" s="24">
        <v>29</v>
      </c>
      <c r="J9" s="10">
        <f t="shared" si="2"/>
        <v>56.862745098039213</v>
      </c>
    </row>
    <row r="10" spans="1:10" ht="29" x14ac:dyDescent="0.45">
      <c r="A10" s="22" t="s">
        <v>34</v>
      </c>
      <c r="B10" s="11">
        <v>61</v>
      </c>
      <c r="C10" s="24">
        <v>11</v>
      </c>
      <c r="D10" s="10">
        <f t="shared" si="0"/>
        <v>18.032786885245901</v>
      </c>
      <c r="E10" s="11">
        <v>61</v>
      </c>
      <c r="F10" s="24">
        <v>20</v>
      </c>
      <c r="G10" s="12">
        <f t="shared" si="1"/>
        <v>32.786885245901637</v>
      </c>
      <c r="H10" s="9">
        <v>105</v>
      </c>
      <c r="I10" s="24">
        <v>16</v>
      </c>
      <c r="J10" s="10">
        <f t="shared" si="2"/>
        <v>15.238095238095239</v>
      </c>
    </row>
    <row r="11" spans="1:10" ht="16.5" x14ac:dyDescent="0.45">
      <c r="A11" s="22" t="s">
        <v>14</v>
      </c>
      <c r="B11" s="11">
        <v>643</v>
      </c>
      <c r="C11" s="24">
        <v>175</v>
      </c>
      <c r="D11" s="10">
        <f t="shared" si="0"/>
        <v>27.216174183514774</v>
      </c>
      <c r="E11" s="11">
        <v>643</v>
      </c>
      <c r="F11" s="24">
        <v>117</v>
      </c>
      <c r="G11" s="12">
        <f t="shared" si="1"/>
        <v>18.195956454121305</v>
      </c>
      <c r="H11" s="9">
        <v>843</v>
      </c>
      <c r="I11" s="24">
        <v>147</v>
      </c>
      <c r="J11" s="10">
        <f t="shared" si="2"/>
        <v>17.437722419928825</v>
      </c>
    </row>
    <row r="12" spans="1:10" ht="16.5" x14ac:dyDescent="0.45">
      <c r="A12" s="22" t="s">
        <v>3</v>
      </c>
      <c r="B12" s="11">
        <v>8431</v>
      </c>
      <c r="C12" s="25">
        <v>2906</v>
      </c>
      <c r="D12" s="10">
        <f t="shared" si="0"/>
        <v>34.468034634088482</v>
      </c>
      <c r="E12" s="11">
        <v>8431</v>
      </c>
      <c r="F12" s="27">
        <v>4826</v>
      </c>
      <c r="G12" s="12">
        <f t="shared" si="1"/>
        <v>57.241133910568145</v>
      </c>
      <c r="H12" s="8">
        <v>10719</v>
      </c>
      <c r="I12" s="27">
        <v>7205</v>
      </c>
      <c r="J12" s="10">
        <f t="shared" si="2"/>
        <v>67.217091146562183</v>
      </c>
    </row>
    <row r="13" spans="1:10" ht="16.5" x14ac:dyDescent="0.45">
      <c r="A13" s="22" t="s">
        <v>35</v>
      </c>
      <c r="B13" s="11">
        <v>117</v>
      </c>
      <c r="C13" s="24">
        <v>30</v>
      </c>
      <c r="D13" s="10">
        <f t="shared" si="0"/>
        <v>25.641025641025639</v>
      </c>
      <c r="E13" s="11">
        <v>117</v>
      </c>
      <c r="F13" s="24">
        <v>27</v>
      </c>
      <c r="G13" s="12">
        <f t="shared" si="1"/>
        <v>23.076923076923077</v>
      </c>
      <c r="H13" s="9">
        <v>64</v>
      </c>
      <c r="I13" s="24">
        <v>46</v>
      </c>
      <c r="J13" s="10">
        <f t="shared" si="2"/>
        <v>71.875</v>
      </c>
    </row>
    <row r="14" spans="1:10" ht="43.5" x14ac:dyDescent="0.45">
      <c r="A14" s="22" t="s">
        <v>15</v>
      </c>
      <c r="B14" s="11">
        <v>236</v>
      </c>
      <c r="C14" s="24">
        <v>59</v>
      </c>
      <c r="D14" s="10">
        <f t="shared" si="0"/>
        <v>25</v>
      </c>
      <c r="E14" s="11">
        <v>236</v>
      </c>
      <c r="F14" s="24">
        <v>62</v>
      </c>
      <c r="G14" s="12">
        <f t="shared" si="1"/>
        <v>26.271186440677969</v>
      </c>
      <c r="H14" s="9">
        <v>231</v>
      </c>
      <c r="I14" s="24">
        <v>79</v>
      </c>
      <c r="J14" s="10">
        <f t="shared" si="2"/>
        <v>34.1991341991342</v>
      </c>
    </row>
    <row r="15" spans="1:10" ht="29" x14ac:dyDescent="0.45">
      <c r="A15" s="22" t="s">
        <v>16</v>
      </c>
      <c r="B15" s="11">
        <v>5736</v>
      </c>
      <c r="C15" s="24">
        <v>1469</v>
      </c>
      <c r="D15" s="10">
        <f t="shared" si="0"/>
        <v>25.610181311018131</v>
      </c>
      <c r="E15" s="11">
        <v>5736</v>
      </c>
      <c r="F15" s="24">
        <v>1110</v>
      </c>
      <c r="G15" s="12">
        <f t="shared" si="1"/>
        <v>19.351464435146443</v>
      </c>
      <c r="H15" s="9">
        <v>6878</v>
      </c>
      <c r="I15" s="24">
        <v>1127</v>
      </c>
      <c r="J15" s="10">
        <f t="shared" si="2"/>
        <v>16.385577202675197</v>
      </c>
    </row>
    <row r="16" spans="1:10" ht="29" x14ac:dyDescent="0.45">
      <c r="A16" s="22" t="s">
        <v>4</v>
      </c>
      <c r="B16" s="11">
        <v>576</v>
      </c>
      <c r="C16" s="29">
        <v>186</v>
      </c>
      <c r="D16" s="10">
        <f t="shared" si="0"/>
        <v>32.291666666666671</v>
      </c>
      <c r="E16" s="11">
        <v>576</v>
      </c>
      <c r="F16" s="24">
        <v>166</v>
      </c>
      <c r="G16" s="12">
        <f t="shared" si="1"/>
        <v>28.819444444444443</v>
      </c>
      <c r="H16" s="9">
        <v>657</v>
      </c>
      <c r="I16" s="24">
        <v>225</v>
      </c>
      <c r="J16" s="10">
        <f t="shared" si="2"/>
        <v>34.246575342465754</v>
      </c>
    </row>
    <row r="17" spans="1:10" ht="16.5" x14ac:dyDescent="0.45">
      <c r="A17" s="22" t="s">
        <v>28</v>
      </c>
      <c r="B17" s="11">
        <v>137</v>
      </c>
      <c r="C17" s="24">
        <v>24</v>
      </c>
      <c r="D17" s="10">
        <f t="shared" si="0"/>
        <v>17.518248175182482</v>
      </c>
      <c r="E17" s="11">
        <v>137</v>
      </c>
      <c r="F17" s="24">
        <v>21</v>
      </c>
      <c r="G17" s="12">
        <f t="shared" si="1"/>
        <v>15.328467153284672</v>
      </c>
      <c r="H17" s="9">
        <v>184</v>
      </c>
      <c r="I17" s="24">
        <v>18</v>
      </c>
      <c r="J17" s="10">
        <f t="shared" si="2"/>
        <v>9.7826086956521738</v>
      </c>
    </row>
    <row r="18" spans="1:10" ht="16.5" x14ac:dyDescent="0.45">
      <c r="A18" s="22" t="s">
        <v>36</v>
      </c>
      <c r="B18" s="11">
        <v>62</v>
      </c>
      <c r="C18" s="24">
        <v>6</v>
      </c>
      <c r="D18" s="10">
        <f t="shared" si="0"/>
        <v>9.67741935483871</v>
      </c>
      <c r="E18" s="11">
        <v>62</v>
      </c>
      <c r="F18" s="24">
        <v>14</v>
      </c>
      <c r="G18" s="12">
        <f t="shared" si="1"/>
        <v>22.58064516129032</v>
      </c>
      <c r="H18" s="9">
        <v>69</v>
      </c>
      <c r="I18" s="24">
        <v>24</v>
      </c>
      <c r="J18" s="10">
        <f t="shared" si="2"/>
        <v>34.782608695652172</v>
      </c>
    </row>
    <row r="19" spans="1:10" ht="16.5" x14ac:dyDescent="0.45">
      <c r="A19" s="22" t="s">
        <v>37</v>
      </c>
      <c r="B19" s="11">
        <v>62</v>
      </c>
      <c r="C19" s="24">
        <v>9</v>
      </c>
      <c r="D19" s="10">
        <f t="shared" si="0"/>
        <v>14.516129032258066</v>
      </c>
      <c r="E19" s="11">
        <v>62</v>
      </c>
      <c r="F19" s="24">
        <v>9</v>
      </c>
      <c r="G19" s="12">
        <f t="shared" si="1"/>
        <v>14.516129032258066</v>
      </c>
      <c r="H19" s="9">
        <v>75</v>
      </c>
      <c r="I19" s="24">
        <v>16</v>
      </c>
      <c r="J19" s="10">
        <f t="shared" si="2"/>
        <v>21.333333333333336</v>
      </c>
    </row>
    <row r="20" spans="1:10" ht="16.5" x14ac:dyDescent="0.45">
      <c r="A20" s="22" t="s">
        <v>17</v>
      </c>
      <c r="B20" s="11">
        <v>2230</v>
      </c>
      <c r="C20" s="24">
        <v>658</v>
      </c>
      <c r="D20" s="10">
        <f t="shared" si="0"/>
        <v>29.5067264573991</v>
      </c>
      <c r="E20" s="11">
        <v>2230</v>
      </c>
      <c r="F20" s="24">
        <v>953</v>
      </c>
      <c r="G20" s="12">
        <f t="shared" si="1"/>
        <v>42.735426008968609</v>
      </c>
      <c r="H20" s="9">
        <v>2609</v>
      </c>
      <c r="I20" s="24">
        <v>757</v>
      </c>
      <c r="J20" s="10">
        <f t="shared" si="2"/>
        <v>29.014948256036792</v>
      </c>
    </row>
    <row r="21" spans="1:10" ht="16.5" x14ac:dyDescent="0.45">
      <c r="A21" s="22" t="s">
        <v>18</v>
      </c>
      <c r="B21" s="11">
        <v>543</v>
      </c>
      <c r="C21" s="24">
        <v>140</v>
      </c>
      <c r="D21" s="10">
        <f t="shared" si="0"/>
        <v>25.78268876611418</v>
      </c>
      <c r="E21" s="11">
        <v>543</v>
      </c>
      <c r="F21" s="24">
        <v>143</v>
      </c>
      <c r="G21" s="12">
        <f t="shared" si="1"/>
        <v>26.335174953959484</v>
      </c>
      <c r="H21" s="9">
        <v>634</v>
      </c>
      <c r="I21" s="24">
        <v>187</v>
      </c>
      <c r="J21" s="10">
        <f t="shared" si="2"/>
        <v>29.495268138801261</v>
      </c>
    </row>
    <row r="22" spans="1:10" ht="16.5" x14ac:dyDescent="0.45">
      <c r="A22" s="22" t="s">
        <v>5</v>
      </c>
      <c r="B22" s="11">
        <v>1425</v>
      </c>
      <c r="C22" s="24">
        <v>276</v>
      </c>
      <c r="D22" s="10">
        <f t="shared" si="0"/>
        <v>19.368421052631579</v>
      </c>
      <c r="E22" s="11">
        <v>1425</v>
      </c>
      <c r="F22" s="24">
        <v>211</v>
      </c>
      <c r="G22" s="12">
        <f t="shared" si="1"/>
        <v>14.807017543859649</v>
      </c>
      <c r="H22" s="9">
        <v>1082</v>
      </c>
      <c r="I22" s="24">
        <v>188</v>
      </c>
      <c r="J22" s="10">
        <f t="shared" si="2"/>
        <v>17.375231053604438</v>
      </c>
    </row>
    <row r="23" spans="1:10" ht="16.5" x14ac:dyDescent="0.45">
      <c r="A23" s="22" t="s">
        <v>19</v>
      </c>
      <c r="B23" s="11">
        <v>284</v>
      </c>
      <c r="C23" s="24">
        <v>85</v>
      </c>
      <c r="D23" s="10">
        <f t="shared" si="0"/>
        <v>29.929577464788732</v>
      </c>
      <c r="E23" s="11">
        <v>284</v>
      </c>
      <c r="F23" s="24">
        <v>74</v>
      </c>
      <c r="G23" s="12">
        <f t="shared" si="1"/>
        <v>26.056338028169012</v>
      </c>
      <c r="H23" s="9">
        <v>376</v>
      </c>
      <c r="I23" s="24">
        <v>142</v>
      </c>
      <c r="J23" s="10">
        <f t="shared" si="2"/>
        <v>37.765957446808514</v>
      </c>
    </row>
    <row r="24" spans="1:10" ht="29" x14ac:dyDescent="0.45">
      <c r="A24" s="22" t="s">
        <v>6</v>
      </c>
      <c r="B24" s="11">
        <v>488</v>
      </c>
      <c r="C24" s="24">
        <v>71</v>
      </c>
      <c r="D24" s="10">
        <f t="shared" si="0"/>
        <v>14.549180327868852</v>
      </c>
      <c r="E24" s="11">
        <v>488</v>
      </c>
      <c r="F24" s="24">
        <v>81</v>
      </c>
      <c r="G24" s="12">
        <f t="shared" si="1"/>
        <v>16.598360655737704</v>
      </c>
      <c r="H24" s="9">
        <v>514</v>
      </c>
      <c r="I24" s="24">
        <v>113</v>
      </c>
      <c r="J24" s="10">
        <f t="shared" si="2"/>
        <v>21.98443579766537</v>
      </c>
    </row>
    <row r="25" spans="1:10" ht="16.5" x14ac:dyDescent="0.45">
      <c r="A25" s="22" t="s">
        <v>29</v>
      </c>
      <c r="B25" s="11">
        <v>443</v>
      </c>
      <c r="C25" s="24">
        <v>218</v>
      </c>
      <c r="D25" s="10">
        <f t="shared" si="0"/>
        <v>49.209932279909708</v>
      </c>
      <c r="E25" s="11">
        <v>443</v>
      </c>
      <c r="F25" s="24">
        <v>235</v>
      </c>
      <c r="G25" s="12">
        <f t="shared" si="1"/>
        <v>53.04740406320542</v>
      </c>
      <c r="H25" s="9">
        <v>425</v>
      </c>
      <c r="I25" s="24">
        <v>201</v>
      </c>
      <c r="J25" s="10">
        <f t="shared" si="2"/>
        <v>47.294117647058826</v>
      </c>
    </row>
    <row r="26" spans="1:10" ht="16.5" x14ac:dyDescent="0.45">
      <c r="A26" s="22" t="s">
        <v>38</v>
      </c>
      <c r="B26" s="11">
        <v>130</v>
      </c>
      <c r="C26" s="24">
        <v>25</v>
      </c>
      <c r="D26" s="10">
        <f t="shared" si="0"/>
        <v>19.230769230769234</v>
      </c>
      <c r="E26" s="11">
        <v>130</v>
      </c>
      <c r="F26" s="24">
        <v>22</v>
      </c>
      <c r="G26" s="12">
        <f t="shared" si="1"/>
        <v>16.923076923076923</v>
      </c>
      <c r="H26" s="9">
        <v>123</v>
      </c>
      <c r="I26" s="24">
        <v>52</v>
      </c>
      <c r="J26" s="10">
        <f t="shared" si="2"/>
        <v>42.276422764227647</v>
      </c>
    </row>
    <row r="27" spans="1:10" ht="16.5" x14ac:dyDescent="0.45">
      <c r="A27" s="22" t="s">
        <v>30</v>
      </c>
      <c r="B27" s="11">
        <v>99</v>
      </c>
      <c r="C27" s="24">
        <v>14</v>
      </c>
      <c r="D27" s="10">
        <f t="shared" si="0"/>
        <v>14.14141414141414</v>
      </c>
      <c r="E27" s="11">
        <v>99</v>
      </c>
      <c r="F27" s="24">
        <v>20</v>
      </c>
      <c r="G27" s="12">
        <f t="shared" si="1"/>
        <v>20.202020202020201</v>
      </c>
      <c r="H27" s="9">
        <v>95</v>
      </c>
      <c r="I27" s="24">
        <v>19</v>
      </c>
      <c r="J27" s="10">
        <f t="shared" si="2"/>
        <v>20</v>
      </c>
    </row>
    <row r="28" spans="1:10" ht="29" x14ac:dyDescent="0.45">
      <c r="A28" s="22" t="s">
        <v>7</v>
      </c>
      <c r="B28" s="11">
        <v>224</v>
      </c>
      <c r="C28" s="24">
        <v>32</v>
      </c>
      <c r="D28" s="10">
        <f t="shared" si="0"/>
        <v>14.285714285714285</v>
      </c>
      <c r="E28" s="11">
        <v>224</v>
      </c>
      <c r="F28" s="24">
        <v>62</v>
      </c>
      <c r="G28" s="12">
        <f t="shared" si="1"/>
        <v>27.678571428571431</v>
      </c>
      <c r="H28" s="9">
        <v>243</v>
      </c>
      <c r="I28" s="24">
        <v>126</v>
      </c>
      <c r="J28" s="10">
        <f t="shared" si="2"/>
        <v>51.851851851851848</v>
      </c>
    </row>
    <row r="29" spans="1:10" ht="29" x14ac:dyDescent="0.45">
      <c r="A29" s="22" t="s">
        <v>20</v>
      </c>
      <c r="B29" s="11">
        <v>220</v>
      </c>
      <c r="C29" s="24">
        <v>42</v>
      </c>
      <c r="D29" s="10">
        <f t="shared" si="0"/>
        <v>19.090909090909093</v>
      </c>
      <c r="E29" s="11">
        <v>220</v>
      </c>
      <c r="F29" s="24">
        <v>70</v>
      </c>
      <c r="G29" s="12">
        <f t="shared" si="1"/>
        <v>31.818181818181817</v>
      </c>
      <c r="H29" s="9">
        <v>212</v>
      </c>
      <c r="I29" s="24">
        <v>136</v>
      </c>
      <c r="J29" s="10">
        <f t="shared" si="2"/>
        <v>64.15094339622641</v>
      </c>
    </row>
    <row r="30" spans="1:10" ht="16.5" x14ac:dyDescent="0.45">
      <c r="A30" s="22" t="s">
        <v>8</v>
      </c>
      <c r="B30" s="11">
        <v>135</v>
      </c>
      <c r="C30" s="24">
        <v>50</v>
      </c>
      <c r="D30" s="10">
        <f t="shared" si="0"/>
        <v>37.037037037037038</v>
      </c>
      <c r="E30" s="11">
        <v>135</v>
      </c>
      <c r="F30" s="24">
        <v>35</v>
      </c>
      <c r="G30" s="12">
        <f t="shared" si="1"/>
        <v>25.925925925925924</v>
      </c>
      <c r="H30" s="9">
        <v>190</v>
      </c>
      <c r="I30" s="24">
        <v>64</v>
      </c>
      <c r="J30" s="10">
        <f t="shared" si="2"/>
        <v>33.684210526315788</v>
      </c>
    </row>
    <row r="31" spans="1:10" ht="29" x14ac:dyDescent="0.45">
      <c r="A31" s="22" t="s">
        <v>9</v>
      </c>
      <c r="B31" s="11">
        <v>1283</v>
      </c>
      <c r="C31" s="24">
        <v>224</v>
      </c>
      <c r="D31" s="10">
        <f t="shared" si="0"/>
        <v>17.459080280592364</v>
      </c>
      <c r="E31" s="11">
        <v>1283</v>
      </c>
      <c r="F31" s="24">
        <v>170</v>
      </c>
      <c r="G31" s="12">
        <f t="shared" si="1"/>
        <v>13.250194855806702</v>
      </c>
      <c r="H31" s="9">
        <v>1399</v>
      </c>
      <c r="I31" s="24">
        <v>231</v>
      </c>
      <c r="J31" s="10">
        <f t="shared" si="2"/>
        <v>16.511794138670481</v>
      </c>
    </row>
    <row r="32" spans="1:10" ht="16.5" x14ac:dyDescent="0.45">
      <c r="A32" s="22" t="s">
        <v>39</v>
      </c>
      <c r="B32" s="11">
        <v>259</v>
      </c>
      <c r="C32" s="24">
        <v>54</v>
      </c>
      <c r="D32" s="10">
        <f t="shared" si="0"/>
        <v>20.849420849420849</v>
      </c>
      <c r="E32" s="11">
        <v>259</v>
      </c>
      <c r="F32" s="24">
        <v>57</v>
      </c>
      <c r="G32" s="12">
        <f t="shared" si="1"/>
        <v>22.007722007722009</v>
      </c>
      <c r="H32" s="9">
        <v>208</v>
      </c>
      <c r="I32" s="24">
        <v>38</v>
      </c>
      <c r="J32" s="10">
        <f t="shared" si="2"/>
        <v>18.269230769230766</v>
      </c>
    </row>
    <row r="33" spans="1:10" ht="29" x14ac:dyDescent="0.45">
      <c r="A33" s="22" t="s">
        <v>40</v>
      </c>
      <c r="B33" s="11">
        <v>36</v>
      </c>
      <c r="C33" s="24">
        <v>5</v>
      </c>
      <c r="D33" s="10">
        <f t="shared" si="0"/>
        <v>13.888888888888889</v>
      </c>
      <c r="E33" s="11">
        <v>36</v>
      </c>
      <c r="F33" s="24">
        <v>4</v>
      </c>
      <c r="G33" s="12">
        <f t="shared" si="1"/>
        <v>11.111111111111111</v>
      </c>
      <c r="H33" s="9">
        <v>36</v>
      </c>
      <c r="I33" s="24">
        <v>13</v>
      </c>
      <c r="J33" s="10">
        <f t="shared" si="2"/>
        <v>36.111111111111107</v>
      </c>
    </row>
    <row r="34" spans="1:10" ht="16.5" x14ac:dyDescent="0.45">
      <c r="A34" s="22" t="s">
        <v>10</v>
      </c>
      <c r="B34" s="11">
        <v>581</v>
      </c>
      <c r="C34" s="24">
        <v>88</v>
      </c>
      <c r="D34" s="10">
        <f t="shared" si="0"/>
        <v>15.146299483648882</v>
      </c>
      <c r="E34" s="11">
        <v>581</v>
      </c>
      <c r="F34" s="24">
        <v>97</v>
      </c>
      <c r="G34" s="12">
        <f t="shared" si="1"/>
        <v>16.69535283993115</v>
      </c>
      <c r="H34" s="9">
        <v>608</v>
      </c>
      <c r="I34" s="24">
        <v>97</v>
      </c>
      <c r="J34" s="10">
        <f t="shared" si="2"/>
        <v>15.953947368421053</v>
      </c>
    </row>
    <row r="35" spans="1:10" ht="29" x14ac:dyDescent="0.45">
      <c r="A35" s="22" t="s">
        <v>41</v>
      </c>
      <c r="B35" s="11">
        <v>129</v>
      </c>
      <c r="C35" s="24">
        <v>39</v>
      </c>
      <c r="D35" s="10">
        <f t="shared" si="0"/>
        <v>30.232558139534881</v>
      </c>
      <c r="E35" s="11">
        <v>129</v>
      </c>
      <c r="F35" s="24">
        <v>65</v>
      </c>
      <c r="G35" s="12">
        <f t="shared" si="1"/>
        <v>50.387596899224803</v>
      </c>
      <c r="H35" s="9">
        <v>153</v>
      </c>
      <c r="I35" s="24">
        <v>60</v>
      </c>
      <c r="J35" s="10">
        <f t="shared" si="2"/>
        <v>39.215686274509807</v>
      </c>
    </row>
    <row r="36" spans="1:10" ht="29" x14ac:dyDescent="0.45">
      <c r="A36" s="22" t="s">
        <v>21</v>
      </c>
      <c r="B36" s="11">
        <v>228</v>
      </c>
      <c r="C36" s="24">
        <v>39</v>
      </c>
      <c r="D36" s="10">
        <f t="shared" si="0"/>
        <v>17.105263157894736</v>
      </c>
      <c r="E36" s="11">
        <v>228</v>
      </c>
      <c r="F36" s="24">
        <v>32</v>
      </c>
      <c r="G36" s="12">
        <f t="shared" si="1"/>
        <v>14.035087719298245</v>
      </c>
      <c r="H36" s="9">
        <v>219</v>
      </c>
      <c r="I36" s="24">
        <v>51</v>
      </c>
      <c r="J36" s="10">
        <f t="shared" si="2"/>
        <v>23.287671232876711</v>
      </c>
    </row>
    <row r="37" spans="1:10" ht="29" x14ac:dyDescent="0.45">
      <c r="A37" s="22" t="s">
        <v>22</v>
      </c>
      <c r="B37" s="11">
        <v>33</v>
      </c>
      <c r="C37" s="24">
        <v>24</v>
      </c>
      <c r="D37" s="10">
        <f t="shared" si="0"/>
        <v>72.727272727272734</v>
      </c>
      <c r="E37" s="11">
        <v>33</v>
      </c>
      <c r="F37" s="24">
        <v>11</v>
      </c>
      <c r="G37" s="12">
        <f t="shared" si="1"/>
        <v>33.333333333333329</v>
      </c>
      <c r="H37" s="9">
        <v>38</v>
      </c>
      <c r="I37" s="24">
        <v>11</v>
      </c>
      <c r="J37" s="10">
        <f t="shared" si="2"/>
        <v>28.947368421052634</v>
      </c>
    </row>
    <row r="38" spans="1:10" ht="29" x14ac:dyDescent="0.45">
      <c r="A38" s="22" t="s">
        <v>23</v>
      </c>
      <c r="B38" s="11">
        <v>38</v>
      </c>
      <c r="C38" s="24">
        <v>10</v>
      </c>
      <c r="D38" s="10">
        <f t="shared" si="0"/>
        <v>26.315789473684209</v>
      </c>
      <c r="E38" s="11">
        <v>38</v>
      </c>
      <c r="F38" s="24">
        <v>5</v>
      </c>
      <c r="G38" s="12">
        <f t="shared" si="1"/>
        <v>13.157894736842104</v>
      </c>
      <c r="H38" s="9">
        <v>41</v>
      </c>
      <c r="I38" s="24">
        <v>9</v>
      </c>
      <c r="J38" s="10">
        <f t="shared" si="2"/>
        <v>21.951219512195124</v>
      </c>
    </row>
    <row r="39" spans="1:10" ht="16.5" x14ac:dyDescent="0.45">
      <c r="A39" s="22" t="s">
        <v>24</v>
      </c>
      <c r="B39" s="11">
        <v>130</v>
      </c>
      <c r="C39" s="24">
        <v>15</v>
      </c>
      <c r="D39" s="10">
        <f t="shared" si="0"/>
        <v>11.538461538461538</v>
      </c>
      <c r="E39" s="11">
        <v>130</v>
      </c>
      <c r="F39" s="24">
        <v>41</v>
      </c>
      <c r="G39" s="12">
        <f t="shared" si="1"/>
        <v>31.538461538461537</v>
      </c>
      <c r="H39" s="9">
        <v>140</v>
      </c>
      <c r="I39" s="24">
        <v>43</v>
      </c>
      <c r="J39" s="10">
        <f t="shared" si="2"/>
        <v>30.714285714285715</v>
      </c>
    </row>
    <row r="40" spans="1:10" ht="43.5" x14ac:dyDescent="0.45">
      <c r="A40" s="22" t="s">
        <v>31</v>
      </c>
      <c r="B40" s="11">
        <v>1467</v>
      </c>
      <c r="C40" s="24">
        <v>204</v>
      </c>
      <c r="D40" s="10">
        <f t="shared" si="0"/>
        <v>13.905930470347649</v>
      </c>
      <c r="E40" s="11">
        <v>1467</v>
      </c>
      <c r="F40" s="24">
        <v>271</v>
      </c>
      <c r="G40" s="12">
        <f t="shared" si="1"/>
        <v>18.47307430129516</v>
      </c>
      <c r="H40" s="9">
        <v>1144</v>
      </c>
      <c r="I40" s="24">
        <v>179</v>
      </c>
      <c r="J40" s="10">
        <f t="shared" si="2"/>
        <v>15.646853146853147</v>
      </c>
    </row>
    <row r="41" spans="1:10" ht="16.5" x14ac:dyDescent="0.45">
      <c r="A41" s="22" t="s">
        <v>11</v>
      </c>
      <c r="B41" s="11">
        <v>166</v>
      </c>
      <c r="C41" s="24">
        <v>25</v>
      </c>
      <c r="D41" s="10">
        <f t="shared" si="0"/>
        <v>15.060240963855422</v>
      </c>
      <c r="E41" s="11">
        <v>166</v>
      </c>
      <c r="F41" s="24">
        <v>39</v>
      </c>
      <c r="G41" s="12">
        <f t="shared" si="1"/>
        <v>23.493975903614459</v>
      </c>
      <c r="H41" s="9">
        <v>177</v>
      </c>
      <c r="I41" s="24">
        <v>57</v>
      </c>
      <c r="J41" s="10">
        <f t="shared" si="2"/>
        <v>32.20338983050847</v>
      </c>
    </row>
    <row r="42" spans="1:10" ht="16.5" x14ac:dyDescent="0.45">
      <c r="A42" s="22" t="s">
        <v>12</v>
      </c>
      <c r="B42" s="11">
        <v>952</v>
      </c>
      <c r="C42" s="24">
        <v>93</v>
      </c>
      <c r="D42" s="10">
        <f t="shared" si="0"/>
        <v>9.7689075630252109</v>
      </c>
      <c r="E42" s="11">
        <v>952</v>
      </c>
      <c r="F42" s="24">
        <v>95</v>
      </c>
      <c r="G42" s="12">
        <f t="shared" si="1"/>
        <v>9.9789915966386555</v>
      </c>
      <c r="H42" s="9">
        <v>851</v>
      </c>
      <c r="I42" s="24">
        <v>169</v>
      </c>
      <c r="J42" s="10">
        <f t="shared" si="2"/>
        <v>19.858989424206815</v>
      </c>
    </row>
    <row r="43" spans="1:10" ht="29" x14ac:dyDescent="0.45">
      <c r="A43" s="22" t="s">
        <v>32</v>
      </c>
      <c r="B43" s="11">
        <v>30</v>
      </c>
      <c r="C43" s="24">
        <v>34</v>
      </c>
      <c r="D43" s="10">
        <f t="shared" si="0"/>
        <v>113.33333333333333</v>
      </c>
      <c r="E43" s="11">
        <v>30</v>
      </c>
      <c r="F43" s="24">
        <v>33</v>
      </c>
      <c r="G43" s="12">
        <f t="shared" si="1"/>
        <v>110.00000000000001</v>
      </c>
      <c r="H43" s="9">
        <v>50</v>
      </c>
      <c r="I43" s="24">
        <v>46</v>
      </c>
      <c r="J43" s="10">
        <f t="shared" si="2"/>
        <v>92</v>
      </c>
    </row>
    <row r="44" spans="1:10" ht="16.5" x14ac:dyDescent="0.45">
      <c r="A44" s="22" t="s">
        <v>25</v>
      </c>
      <c r="B44" s="11">
        <v>278</v>
      </c>
      <c r="C44" s="24">
        <v>107</v>
      </c>
      <c r="D44" s="10">
        <f t="shared" si="0"/>
        <v>38.489208633093526</v>
      </c>
      <c r="E44" s="11">
        <v>278</v>
      </c>
      <c r="F44" s="24">
        <v>102</v>
      </c>
      <c r="G44" s="12">
        <f t="shared" si="1"/>
        <v>36.690647482014391</v>
      </c>
      <c r="H44" s="9">
        <v>348</v>
      </c>
      <c r="I44" s="24">
        <v>160</v>
      </c>
      <c r="J44" s="10">
        <f t="shared" si="2"/>
        <v>45.977011494252871</v>
      </c>
    </row>
    <row r="45" spans="1:10" ht="16.5" x14ac:dyDescent="0.45">
      <c r="A45" s="22" t="s">
        <v>33</v>
      </c>
      <c r="B45" s="11">
        <v>112</v>
      </c>
      <c r="C45" s="24">
        <v>31</v>
      </c>
      <c r="D45" s="10">
        <f t="shared" si="0"/>
        <v>27.678571428571431</v>
      </c>
      <c r="E45" s="11">
        <v>112</v>
      </c>
      <c r="F45" s="24">
        <v>19</v>
      </c>
      <c r="G45" s="12">
        <f t="shared" si="1"/>
        <v>16.964285714285715</v>
      </c>
      <c r="H45" s="9">
        <v>133</v>
      </c>
      <c r="I45" s="24">
        <v>44</v>
      </c>
      <c r="J45" s="10">
        <f t="shared" si="2"/>
        <v>33.082706766917291</v>
      </c>
    </row>
    <row r="46" spans="1:10" ht="29" x14ac:dyDescent="0.45">
      <c r="A46" s="22" t="s">
        <v>13</v>
      </c>
      <c r="B46" s="11">
        <v>403</v>
      </c>
      <c r="C46" s="24">
        <v>173</v>
      </c>
      <c r="D46" s="10">
        <f t="shared" si="0"/>
        <v>42.928039702233249</v>
      </c>
      <c r="E46" s="11">
        <v>403</v>
      </c>
      <c r="F46" s="24">
        <v>122</v>
      </c>
      <c r="G46" s="12">
        <f t="shared" si="1"/>
        <v>30.272952853598017</v>
      </c>
      <c r="H46" s="9">
        <v>254</v>
      </c>
      <c r="I46" s="24">
        <v>177</v>
      </c>
      <c r="J46" s="10">
        <f t="shared" si="2"/>
        <v>69.685039370078741</v>
      </c>
    </row>
    <row r="47" spans="1:10" x14ac:dyDescent="0.35">
      <c r="A47" s="40" t="s">
        <v>59</v>
      </c>
      <c r="B47" s="40"/>
      <c r="C47" s="40"/>
      <c r="D47" s="40"/>
      <c r="E47" s="40"/>
      <c r="F47" s="40"/>
      <c r="G47" s="40"/>
      <c r="H47" s="40"/>
      <c r="I47" s="40"/>
      <c r="J47" s="40"/>
    </row>
    <row r="48" spans="1:10" x14ac:dyDescent="0.35">
      <c r="A48" s="34" t="s">
        <v>51</v>
      </c>
      <c r="B48" s="34"/>
      <c r="C48" s="34"/>
      <c r="F48" s="26"/>
      <c r="I48" s="26"/>
    </row>
    <row r="49" spans="1:9" x14ac:dyDescent="0.35">
      <c r="A49" s="35" t="s">
        <v>52</v>
      </c>
      <c r="B49" s="35"/>
      <c r="C49" s="35"/>
      <c r="F49" s="26"/>
      <c r="I49" s="26"/>
    </row>
  </sheetData>
  <mergeCells count="11">
    <mergeCell ref="A47:J47"/>
    <mergeCell ref="A48:C48"/>
    <mergeCell ref="A49:C49"/>
    <mergeCell ref="A1:J1"/>
    <mergeCell ref="A2:J3"/>
    <mergeCell ref="A4:J4"/>
    <mergeCell ref="A5:J5"/>
    <mergeCell ref="A6:A7"/>
    <mergeCell ref="B6:D6"/>
    <mergeCell ref="E6:G6"/>
    <mergeCell ref="H6:J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2D2-ED2E-428B-B991-3A0075E0E64D}">
  <dimension ref="A1:J46"/>
  <sheetViews>
    <sheetView topLeftCell="A35" workbookViewId="0">
      <selection activeCell="M36" sqref="M36"/>
    </sheetView>
  </sheetViews>
  <sheetFormatPr baseColWidth="10" defaultRowHeight="14.5" x14ac:dyDescent="0.35"/>
  <sheetData>
    <row r="1" spans="1:10" x14ac:dyDescent="0.35">
      <c r="A1" s="43" t="s">
        <v>60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35">
      <c r="A2" s="37" t="s">
        <v>58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 ht="18.5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</row>
    <row r="5" spans="1:10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x14ac:dyDescent="0.35">
      <c r="A6" s="44" t="s">
        <v>2</v>
      </c>
      <c r="B6" s="46" t="s">
        <v>55</v>
      </c>
      <c r="C6" s="47"/>
      <c r="D6" s="48"/>
      <c r="E6" s="46" t="s">
        <v>56</v>
      </c>
      <c r="F6" s="47"/>
      <c r="G6" s="48"/>
      <c r="H6" s="46" t="s">
        <v>57</v>
      </c>
      <c r="I6" s="47"/>
      <c r="J6" s="48"/>
    </row>
    <row r="7" spans="1:10" ht="43.5" x14ac:dyDescent="0.35">
      <c r="A7" s="45"/>
      <c r="B7" s="5" t="s">
        <v>42</v>
      </c>
      <c r="C7" s="23" t="s">
        <v>45</v>
      </c>
      <c r="D7" s="21" t="s">
        <v>44</v>
      </c>
      <c r="E7" s="5" t="s">
        <v>42</v>
      </c>
      <c r="F7" s="23" t="s">
        <v>46</v>
      </c>
      <c r="G7" s="21" t="s">
        <v>44</v>
      </c>
      <c r="H7" s="5" t="s">
        <v>42</v>
      </c>
      <c r="I7" s="23" t="s">
        <v>43</v>
      </c>
      <c r="J7" s="5" t="s">
        <v>44</v>
      </c>
    </row>
    <row r="8" spans="1:10" ht="16.5" x14ac:dyDescent="0.45">
      <c r="A8" s="22" t="s">
        <v>26</v>
      </c>
      <c r="B8" s="11">
        <v>499</v>
      </c>
      <c r="C8" s="24">
        <v>133</v>
      </c>
      <c r="D8" s="10">
        <f t="shared" ref="D8:D46" si="0">SUM(C8/B8*100)</f>
        <v>26.653306613226452</v>
      </c>
      <c r="E8" s="11">
        <v>499</v>
      </c>
      <c r="F8" s="24">
        <v>95</v>
      </c>
      <c r="G8" s="12">
        <f t="shared" ref="G8:G46" si="1">SUM(F8/E8*100)</f>
        <v>19.038076152304608</v>
      </c>
      <c r="H8" s="9">
        <v>560</v>
      </c>
      <c r="I8" s="24">
        <v>151</v>
      </c>
      <c r="J8" s="10">
        <f t="shared" ref="J8:J46" si="2">SUM(I8/H8*100)</f>
        <v>26.964285714285712</v>
      </c>
    </row>
    <row r="9" spans="1:10" ht="16.5" x14ac:dyDescent="0.45">
      <c r="A9" s="22" t="s">
        <v>27</v>
      </c>
      <c r="B9" s="11">
        <v>54</v>
      </c>
      <c r="C9" s="24">
        <v>18</v>
      </c>
      <c r="D9" s="10">
        <f t="shared" si="0"/>
        <v>33.333333333333329</v>
      </c>
      <c r="E9" s="11">
        <v>54</v>
      </c>
      <c r="F9" s="24">
        <v>23</v>
      </c>
      <c r="G9" s="12">
        <f t="shared" si="1"/>
        <v>42.592592592592595</v>
      </c>
      <c r="H9" s="9">
        <v>51</v>
      </c>
      <c r="I9" s="24">
        <v>29</v>
      </c>
      <c r="J9" s="10">
        <f t="shared" si="2"/>
        <v>56.862745098039213</v>
      </c>
    </row>
    <row r="10" spans="1:10" ht="29" x14ac:dyDescent="0.45">
      <c r="A10" s="22" t="s">
        <v>34</v>
      </c>
      <c r="B10" s="11">
        <v>61</v>
      </c>
      <c r="C10" s="24">
        <v>11</v>
      </c>
      <c r="D10" s="10">
        <f t="shared" si="0"/>
        <v>18.032786885245901</v>
      </c>
      <c r="E10" s="11">
        <v>61</v>
      </c>
      <c r="F10" s="24">
        <v>21</v>
      </c>
      <c r="G10" s="12">
        <f t="shared" si="1"/>
        <v>34.42622950819672</v>
      </c>
      <c r="H10" s="9">
        <v>105</v>
      </c>
      <c r="I10" s="24">
        <v>16</v>
      </c>
      <c r="J10" s="10">
        <f t="shared" si="2"/>
        <v>15.238095238095239</v>
      </c>
    </row>
    <row r="11" spans="1:10" ht="16.5" x14ac:dyDescent="0.45">
      <c r="A11" s="22" t="s">
        <v>14</v>
      </c>
      <c r="B11" s="11">
        <v>643</v>
      </c>
      <c r="C11" s="24">
        <v>204</v>
      </c>
      <c r="D11" s="10">
        <f t="shared" si="0"/>
        <v>31.726283048211506</v>
      </c>
      <c r="E11" s="11">
        <v>643</v>
      </c>
      <c r="F11" s="24">
        <v>133</v>
      </c>
      <c r="G11" s="12">
        <f t="shared" si="1"/>
        <v>20.684292379471227</v>
      </c>
      <c r="H11" s="9">
        <v>843</v>
      </c>
      <c r="I11" s="24">
        <v>188</v>
      </c>
      <c r="J11" s="10">
        <f t="shared" si="2"/>
        <v>22.301304863582445</v>
      </c>
    </row>
    <row r="12" spans="1:10" ht="16.5" x14ac:dyDescent="0.45">
      <c r="A12" s="22" t="s">
        <v>3</v>
      </c>
      <c r="B12" s="11">
        <v>8431</v>
      </c>
      <c r="C12" s="25">
        <v>3161</v>
      </c>
      <c r="D12" s="10">
        <f t="shared" si="0"/>
        <v>37.492586881745936</v>
      </c>
      <c r="E12" s="11">
        <v>8431</v>
      </c>
      <c r="F12" s="27">
        <v>5037</v>
      </c>
      <c r="G12" s="12">
        <f t="shared" si="1"/>
        <v>59.743802633139609</v>
      </c>
      <c r="H12" s="8">
        <v>10719</v>
      </c>
      <c r="I12" s="27">
        <v>7383</v>
      </c>
      <c r="J12" s="10">
        <f t="shared" si="2"/>
        <v>68.877693814721525</v>
      </c>
    </row>
    <row r="13" spans="1:10" ht="16.5" x14ac:dyDescent="0.45">
      <c r="A13" s="22" t="s">
        <v>35</v>
      </c>
      <c r="B13" s="11">
        <v>117</v>
      </c>
      <c r="C13" s="24">
        <v>32</v>
      </c>
      <c r="D13" s="10">
        <f t="shared" si="0"/>
        <v>27.350427350427353</v>
      </c>
      <c r="E13" s="11">
        <v>117</v>
      </c>
      <c r="F13" s="24">
        <v>30</v>
      </c>
      <c r="G13" s="12">
        <f t="shared" si="1"/>
        <v>25.641025641025639</v>
      </c>
      <c r="H13" s="9">
        <v>64</v>
      </c>
      <c r="I13" s="24">
        <v>48</v>
      </c>
      <c r="J13" s="10">
        <f t="shared" si="2"/>
        <v>75</v>
      </c>
    </row>
    <row r="14" spans="1:10" ht="43.5" x14ac:dyDescent="0.45">
      <c r="A14" s="22" t="s">
        <v>15</v>
      </c>
      <c r="B14" s="11">
        <v>236</v>
      </c>
      <c r="C14" s="24">
        <v>61</v>
      </c>
      <c r="D14" s="10">
        <f t="shared" si="0"/>
        <v>25.847457627118644</v>
      </c>
      <c r="E14" s="11">
        <v>236</v>
      </c>
      <c r="F14" s="24">
        <v>64</v>
      </c>
      <c r="G14" s="12">
        <f t="shared" si="1"/>
        <v>27.118644067796609</v>
      </c>
      <c r="H14" s="9">
        <v>231</v>
      </c>
      <c r="I14" s="24">
        <v>82</v>
      </c>
      <c r="J14" s="10">
        <f t="shared" si="2"/>
        <v>35.497835497835503</v>
      </c>
    </row>
    <row r="15" spans="1:10" ht="29" x14ac:dyDescent="0.45">
      <c r="A15" s="22" t="s">
        <v>16</v>
      </c>
      <c r="B15" s="11">
        <v>5736</v>
      </c>
      <c r="C15" s="24">
        <v>1570</v>
      </c>
      <c r="D15" s="10">
        <f t="shared" si="0"/>
        <v>27.370990237099026</v>
      </c>
      <c r="E15" s="11">
        <v>5736</v>
      </c>
      <c r="F15" s="24">
        <v>1154</v>
      </c>
      <c r="G15" s="12">
        <f t="shared" si="1"/>
        <v>20.118549511854951</v>
      </c>
      <c r="H15" s="9">
        <v>6878</v>
      </c>
      <c r="I15" s="24">
        <v>1210</v>
      </c>
      <c r="J15" s="10">
        <f t="shared" si="2"/>
        <v>17.592323349810993</v>
      </c>
    </row>
    <row r="16" spans="1:10" ht="29" x14ac:dyDescent="0.45">
      <c r="A16" s="22" t="s">
        <v>4</v>
      </c>
      <c r="B16" s="11">
        <v>576</v>
      </c>
      <c r="C16" s="29">
        <v>192</v>
      </c>
      <c r="D16" s="10">
        <f t="shared" si="0"/>
        <v>33.333333333333329</v>
      </c>
      <c r="E16" s="11">
        <v>576</v>
      </c>
      <c r="F16" s="24">
        <v>176</v>
      </c>
      <c r="G16" s="12">
        <f t="shared" si="1"/>
        <v>30.555555555555557</v>
      </c>
      <c r="H16" s="9">
        <v>657</v>
      </c>
      <c r="I16" s="24">
        <v>233</v>
      </c>
      <c r="J16" s="10">
        <f t="shared" si="2"/>
        <v>35.464231354642308</v>
      </c>
    </row>
    <row r="17" spans="1:10" ht="16.5" x14ac:dyDescent="0.45">
      <c r="A17" s="22" t="s">
        <v>28</v>
      </c>
      <c r="B17" s="11">
        <v>137</v>
      </c>
      <c r="C17" s="24">
        <v>24</v>
      </c>
      <c r="D17" s="10">
        <f t="shared" si="0"/>
        <v>17.518248175182482</v>
      </c>
      <c r="E17" s="11">
        <v>137</v>
      </c>
      <c r="F17" s="24">
        <v>24</v>
      </c>
      <c r="G17" s="12">
        <f t="shared" si="1"/>
        <v>17.518248175182482</v>
      </c>
      <c r="H17" s="9">
        <v>184</v>
      </c>
      <c r="I17" s="24">
        <v>20</v>
      </c>
      <c r="J17" s="10">
        <f t="shared" si="2"/>
        <v>10.869565217391305</v>
      </c>
    </row>
    <row r="18" spans="1:10" ht="16.5" x14ac:dyDescent="0.45">
      <c r="A18" s="22" t="s">
        <v>36</v>
      </c>
      <c r="B18" s="11">
        <v>62</v>
      </c>
      <c r="C18" s="24">
        <v>8</v>
      </c>
      <c r="D18" s="10">
        <f t="shared" si="0"/>
        <v>12.903225806451612</v>
      </c>
      <c r="E18" s="11">
        <v>62</v>
      </c>
      <c r="F18" s="24">
        <v>16</v>
      </c>
      <c r="G18" s="12">
        <f t="shared" si="1"/>
        <v>25.806451612903224</v>
      </c>
      <c r="H18" s="9">
        <v>69</v>
      </c>
      <c r="I18" s="24">
        <v>30</v>
      </c>
      <c r="J18" s="10">
        <f t="shared" si="2"/>
        <v>43.478260869565219</v>
      </c>
    </row>
    <row r="19" spans="1:10" ht="16.5" x14ac:dyDescent="0.45">
      <c r="A19" s="22" t="s">
        <v>37</v>
      </c>
      <c r="B19" s="11">
        <v>62</v>
      </c>
      <c r="C19" s="24">
        <v>15</v>
      </c>
      <c r="D19" s="10">
        <f t="shared" si="0"/>
        <v>24.193548387096776</v>
      </c>
      <c r="E19" s="11">
        <v>62</v>
      </c>
      <c r="F19" s="24">
        <v>11</v>
      </c>
      <c r="G19" s="12">
        <f t="shared" si="1"/>
        <v>17.741935483870968</v>
      </c>
      <c r="H19" s="9">
        <v>75</v>
      </c>
      <c r="I19" s="24">
        <v>19</v>
      </c>
      <c r="J19" s="10">
        <f t="shared" si="2"/>
        <v>25.333333333333336</v>
      </c>
    </row>
    <row r="20" spans="1:10" ht="16.5" x14ac:dyDescent="0.45">
      <c r="A20" s="22" t="s">
        <v>17</v>
      </c>
      <c r="B20" s="11">
        <v>2230</v>
      </c>
      <c r="C20" s="24">
        <v>685</v>
      </c>
      <c r="D20" s="10">
        <f t="shared" si="0"/>
        <v>30.717488789237667</v>
      </c>
      <c r="E20" s="11">
        <v>2230</v>
      </c>
      <c r="F20" s="24">
        <v>965</v>
      </c>
      <c r="G20" s="12">
        <f t="shared" si="1"/>
        <v>43.27354260089686</v>
      </c>
      <c r="H20" s="9">
        <v>2609</v>
      </c>
      <c r="I20" s="24">
        <v>769</v>
      </c>
      <c r="J20" s="10">
        <f t="shared" si="2"/>
        <v>29.474894595630509</v>
      </c>
    </row>
    <row r="21" spans="1:10" ht="16.5" x14ac:dyDescent="0.45">
      <c r="A21" s="22" t="s">
        <v>18</v>
      </c>
      <c r="B21" s="11">
        <v>543</v>
      </c>
      <c r="C21" s="24">
        <v>149</v>
      </c>
      <c r="D21" s="10">
        <f t="shared" si="0"/>
        <v>27.440147329650095</v>
      </c>
      <c r="E21" s="11">
        <v>543</v>
      </c>
      <c r="F21" s="24">
        <v>147</v>
      </c>
      <c r="G21" s="12">
        <f t="shared" si="1"/>
        <v>27.071823204419886</v>
      </c>
      <c r="H21" s="9">
        <v>634</v>
      </c>
      <c r="I21" s="24">
        <v>195</v>
      </c>
      <c r="J21" s="10">
        <f t="shared" si="2"/>
        <v>30.757097791798106</v>
      </c>
    </row>
    <row r="22" spans="1:10" ht="16.5" x14ac:dyDescent="0.45">
      <c r="A22" s="22" t="s">
        <v>5</v>
      </c>
      <c r="B22" s="11">
        <v>1425</v>
      </c>
      <c r="C22" s="24">
        <v>316</v>
      </c>
      <c r="D22" s="10">
        <f t="shared" si="0"/>
        <v>22.17543859649123</v>
      </c>
      <c r="E22" s="11">
        <v>1425</v>
      </c>
      <c r="F22" s="24">
        <v>223</v>
      </c>
      <c r="G22" s="12">
        <f t="shared" si="1"/>
        <v>15.649122807017543</v>
      </c>
      <c r="H22" s="9">
        <v>1082</v>
      </c>
      <c r="I22" s="24">
        <v>214</v>
      </c>
      <c r="J22" s="10">
        <f t="shared" si="2"/>
        <v>19.778188539741219</v>
      </c>
    </row>
    <row r="23" spans="1:10" ht="16.5" x14ac:dyDescent="0.45">
      <c r="A23" s="22" t="s">
        <v>19</v>
      </c>
      <c r="B23" s="11">
        <v>284</v>
      </c>
      <c r="C23" s="24">
        <v>90</v>
      </c>
      <c r="D23" s="10">
        <f t="shared" si="0"/>
        <v>31.690140845070424</v>
      </c>
      <c r="E23" s="11">
        <v>284</v>
      </c>
      <c r="F23" s="24">
        <v>74</v>
      </c>
      <c r="G23" s="12">
        <f t="shared" si="1"/>
        <v>26.056338028169012</v>
      </c>
      <c r="H23" s="9">
        <v>376</v>
      </c>
      <c r="I23" s="24">
        <v>146</v>
      </c>
      <c r="J23" s="10">
        <f t="shared" si="2"/>
        <v>38.829787234042549</v>
      </c>
    </row>
    <row r="24" spans="1:10" ht="29" x14ac:dyDescent="0.45">
      <c r="A24" s="22" t="s">
        <v>6</v>
      </c>
      <c r="B24" s="11">
        <v>488</v>
      </c>
      <c r="C24" s="24">
        <v>90</v>
      </c>
      <c r="D24" s="10">
        <f t="shared" si="0"/>
        <v>18.442622950819672</v>
      </c>
      <c r="E24" s="11">
        <v>488</v>
      </c>
      <c r="F24" s="24">
        <v>93</v>
      </c>
      <c r="G24" s="12">
        <f t="shared" si="1"/>
        <v>19.057377049180328</v>
      </c>
      <c r="H24" s="9">
        <v>514</v>
      </c>
      <c r="I24" s="24">
        <v>140</v>
      </c>
      <c r="J24" s="10">
        <f t="shared" si="2"/>
        <v>27.237354085603112</v>
      </c>
    </row>
    <row r="25" spans="1:10" ht="16.5" x14ac:dyDescent="0.45">
      <c r="A25" s="22" t="s">
        <v>29</v>
      </c>
      <c r="B25" s="11">
        <v>443</v>
      </c>
      <c r="C25" s="24">
        <v>270</v>
      </c>
      <c r="D25" s="10">
        <f t="shared" si="0"/>
        <v>60.948081264108353</v>
      </c>
      <c r="E25" s="11">
        <v>443</v>
      </c>
      <c r="F25" s="24">
        <v>279</v>
      </c>
      <c r="G25" s="12">
        <f t="shared" si="1"/>
        <v>62.979683972911957</v>
      </c>
      <c r="H25" s="9">
        <v>425</v>
      </c>
      <c r="I25" s="24">
        <v>228</v>
      </c>
      <c r="J25" s="10">
        <f t="shared" si="2"/>
        <v>53.647058823529413</v>
      </c>
    </row>
    <row r="26" spans="1:10" ht="16.5" x14ac:dyDescent="0.45">
      <c r="A26" s="22" t="s">
        <v>38</v>
      </c>
      <c r="B26" s="11">
        <v>130</v>
      </c>
      <c r="C26" s="24">
        <v>25</v>
      </c>
      <c r="D26" s="10">
        <f t="shared" si="0"/>
        <v>19.230769230769234</v>
      </c>
      <c r="E26" s="11">
        <v>130</v>
      </c>
      <c r="F26" s="24">
        <v>22</v>
      </c>
      <c r="G26" s="12">
        <f t="shared" si="1"/>
        <v>16.923076923076923</v>
      </c>
      <c r="H26" s="9">
        <v>123</v>
      </c>
      <c r="I26" s="24">
        <v>53</v>
      </c>
      <c r="J26" s="10">
        <f t="shared" si="2"/>
        <v>43.089430894308947</v>
      </c>
    </row>
    <row r="27" spans="1:10" ht="16.5" x14ac:dyDescent="0.45">
      <c r="A27" s="22" t="s">
        <v>30</v>
      </c>
      <c r="B27" s="11">
        <v>99</v>
      </c>
      <c r="C27" s="24">
        <v>24</v>
      </c>
      <c r="D27" s="10">
        <f t="shared" si="0"/>
        <v>24.242424242424242</v>
      </c>
      <c r="E27" s="11">
        <v>99</v>
      </c>
      <c r="F27" s="24">
        <v>20</v>
      </c>
      <c r="G27" s="12">
        <f t="shared" si="1"/>
        <v>20.202020202020201</v>
      </c>
      <c r="H27" s="9">
        <v>95</v>
      </c>
      <c r="I27" s="24">
        <v>19</v>
      </c>
      <c r="J27" s="10">
        <f t="shared" si="2"/>
        <v>20</v>
      </c>
    </row>
    <row r="28" spans="1:10" ht="29" x14ac:dyDescent="0.45">
      <c r="A28" s="22" t="s">
        <v>7</v>
      </c>
      <c r="B28" s="11">
        <v>224</v>
      </c>
      <c r="C28" s="24">
        <v>38</v>
      </c>
      <c r="D28" s="10">
        <f t="shared" si="0"/>
        <v>16.964285714285715</v>
      </c>
      <c r="E28" s="11">
        <v>224</v>
      </c>
      <c r="F28" s="24">
        <v>65</v>
      </c>
      <c r="G28" s="12">
        <f t="shared" si="1"/>
        <v>29.017857142857146</v>
      </c>
      <c r="H28" s="9">
        <v>243</v>
      </c>
      <c r="I28" s="24">
        <v>130</v>
      </c>
      <c r="J28" s="10">
        <f t="shared" si="2"/>
        <v>53.497942386831276</v>
      </c>
    </row>
    <row r="29" spans="1:10" ht="29" x14ac:dyDescent="0.45">
      <c r="A29" s="22" t="s">
        <v>20</v>
      </c>
      <c r="B29" s="11">
        <v>220</v>
      </c>
      <c r="C29" s="24">
        <v>46</v>
      </c>
      <c r="D29" s="10">
        <f t="shared" si="0"/>
        <v>20.909090909090907</v>
      </c>
      <c r="E29" s="11">
        <v>220</v>
      </c>
      <c r="F29" s="24">
        <v>73</v>
      </c>
      <c r="G29" s="12">
        <f t="shared" si="1"/>
        <v>33.181818181818187</v>
      </c>
      <c r="H29" s="9">
        <v>212</v>
      </c>
      <c r="I29" s="24">
        <v>144</v>
      </c>
      <c r="J29" s="10">
        <f t="shared" si="2"/>
        <v>67.924528301886795</v>
      </c>
    </row>
    <row r="30" spans="1:10" ht="16.5" x14ac:dyDescent="0.45">
      <c r="A30" s="22" t="s">
        <v>8</v>
      </c>
      <c r="B30" s="11">
        <v>135</v>
      </c>
      <c r="C30" s="24">
        <v>60</v>
      </c>
      <c r="D30" s="10">
        <f t="shared" si="0"/>
        <v>44.444444444444443</v>
      </c>
      <c r="E30" s="11">
        <v>135</v>
      </c>
      <c r="F30" s="24">
        <v>42</v>
      </c>
      <c r="G30" s="12">
        <f t="shared" si="1"/>
        <v>31.111111111111111</v>
      </c>
      <c r="H30" s="9">
        <v>190</v>
      </c>
      <c r="I30" s="24">
        <v>71</v>
      </c>
      <c r="J30" s="10">
        <f t="shared" si="2"/>
        <v>37.368421052631575</v>
      </c>
    </row>
    <row r="31" spans="1:10" ht="29" x14ac:dyDescent="0.45">
      <c r="A31" s="22" t="s">
        <v>9</v>
      </c>
      <c r="B31" s="11">
        <v>1283</v>
      </c>
      <c r="C31" s="24">
        <v>241</v>
      </c>
      <c r="D31" s="10">
        <f t="shared" si="0"/>
        <v>18.784099766173032</v>
      </c>
      <c r="E31" s="11">
        <v>1283</v>
      </c>
      <c r="F31" s="24">
        <v>186</v>
      </c>
      <c r="G31" s="12">
        <f t="shared" si="1"/>
        <v>14.497272018706159</v>
      </c>
      <c r="H31" s="9">
        <v>1399</v>
      </c>
      <c r="I31" s="24">
        <v>247</v>
      </c>
      <c r="J31" s="10">
        <f t="shared" si="2"/>
        <v>17.655468191565404</v>
      </c>
    </row>
    <row r="32" spans="1:10" ht="16.5" x14ac:dyDescent="0.45">
      <c r="A32" s="22" t="s">
        <v>39</v>
      </c>
      <c r="B32" s="11">
        <v>259</v>
      </c>
      <c r="C32" s="24">
        <v>59</v>
      </c>
      <c r="D32" s="10">
        <f t="shared" si="0"/>
        <v>22.779922779922778</v>
      </c>
      <c r="E32" s="11">
        <v>259</v>
      </c>
      <c r="F32" s="24">
        <v>77</v>
      </c>
      <c r="G32" s="12">
        <f t="shared" si="1"/>
        <v>29.72972972972973</v>
      </c>
      <c r="H32" s="9">
        <v>208</v>
      </c>
      <c r="I32" s="24">
        <v>58</v>
      </c>
      <c r="J32" s="10">
        <f t="shared" si="2"/>
        <v>27.884615384615387</v>
      </c>
    </row>
    <row r="33" spans="1:10" ht="29" x14ac:dyDescent="0.45">
      <c r="A33" s="22" t="s">
        <v>40</v>
      </c>
      <c r="B33" s="11">
        <v>36</v>
      </c>
      <c r="C33" s="24">
        <v>5</v>
      </c>
      <c r="D33" s="10">
        <f t="shared" si="0"/>
        <v>13.888888888888889</v>
      </c>
      <c r="E33" s="11">
        <v>36</v>
      </c>
      <c r="F33" s="24">
        <v>4</v>
      </c>
      <c r="G33" s="12">
        <f t="shared" si="1"/>
        <v>11.111111111111111</v>
      </c>
      <c r="H33" s="9">
        <v>36</v>
      </c>
      <c r="I33" s="24">
        <v>13</v>
      </c>
      <c r="J33" s="10">
        <f t="shared" si="2"/>
        <v>36.111111111111107</v>
      </c>
    </row>
    <row r="34" spans="1:10" ht="16.5" x14ac:dyDescent="0.45">
      <c r="A34" s="22" t="s">
        <v>10</v>
      </c>
      <c r="B34" s="11">
        <v>581</v>
      </c>
      <c r="C34" s="24">
        <v>88</v>
      </c>
      <c r="D34" s="10">
        <f t="shared" si="0"/>
        <v>15.146299483648882</v>
      </c>
      <c r="E34" s="11">
        <v>581</v>
      </c>
      <c r="F34" s="24">
        <v>97</v>
      </c>
      <c r="G34" s="12">
        <f t="shared" si="1"/>
        <v>16.69535283993115</v>
      </c>
      <c r="H34" s="9">
        <v>608</v>
      </c>
      <c r="I34" s="24">
        <v>97</v>
      </c>
      <c r="J34" s="10">
        <f t="shared" si="2"/>
        <v>15.953947368421053</v>
      </c>
    </row>
    <row r="35" spans="1:10" ht="29" x14ac:dyDescent="0.45">
      <c r="A35" s="22" t="s">
        <v>41</v>
      </c>
      <c r="B35" s="11">
        <v>129</v>
      </c>
      <c r="C35" s="24">
        <v>39</v>
      </c>
      <c r="D35" s="10">
        <f t="shared" si="0"/>
        <v>30.232558139534881</v>
      </c>
      <c r="E35" s="11">
        <v>129</v>
      </c>
      <c r="F35" s="24">
        <v>65</v>
      </c>
      <c r="G35" s="12">
        <f t="shared" si="1"/>
        <v>50.387596899224803</v>
      </c>
      <c r="H35" s="9">
        <v>153</v>
      </c>
      <c r="I35" s="24">
        <v>60</v>
      </c>
      <c r="J35" s="10">
        <f t="shared" si="2"/>
        <v>39.215686274509807</v>
      </c>
    </row>
    <row r="36" spans="1:10" ht="29" x14ac:dyDescent="0.45">
      <c r="A36" s="22" t="s">
        <v>21</v>
      </c>
      <c r="B36" s="11">
        <v>228</v>
      </c>
      <c r="C36" s="24">
        <v>39</v>
      </c>
      <c r="D36" s="10">
        <f t="shared" si="0"/>
        <v>17.105263157894736</v>
      </c>
      <c r="E36" s="11">
        <v>228</v>
      </c>
      <c r="F36" s="24">
        <v>32</v>
      </c>
      <c r="G36" s="12">
        <f t="shared" si="1"/>
        <v>14.035087719298245</v>
      </c>
      <c r="H36" s="9">
        <v>219</v>
      </c>
      <c r="I36" s="24">
        <v>51</v>
      </c>
      <c r="J36" s="10">
        <f t="shared" si="2"/>
        <v>23.287671232876711</v>
      </c>
    </row>
    <row r="37" spans="1:10" ht="29" x14ac:dyDescent="0.45">
      <c r="A37" s="22" t="s">
        <v>22</v>
      </c>
      <c r="B37" s="11">
        <v>33</v>
      </c>
      <c r="C37" s="24">
        <v>24</v>
      </c>
      <c r="D37" s="10">
        <f t="shared" si="0"/>
        <v>72.727272727272734</v>
      </c>
      <c r="E37" s="11">
        <v>33</v>
      </c>
      <c r="F37" s="24">
        <v>11</v>
      </c>
      <c r="G37" s="12">
        <f t="shared" si="1"/>
        <v>33.333333333333329</v>
      </c>
      <c r="H37" s="9">
        <v>38</v>
      </c>
      <c r="I37" s="24">
        <v>11</v>
      </c>
      <c r="J37" s="10">
        <f t="shared" si="2"/>
        <v>28.947368421052634</v>
      </c>
    </row>
    <row r="38" spans="1:10" ht="29" x14ac:dyDescent="0.45">
      <c r="A38" s="22" t="s">
        <v>23</v>
      </c>
      <c r="B38" s="11">
        <v>38</v>
      </c>
      <c r="C38" s="24">
        <v>10</v>
      </c>
      <c r="D38" s="10">
        <f t="shared" si="0"/>
        <v>26.315789473684209</v>
      </c>
      <c r="E38" s="11">
        <v>38</v>
      </c>
      <c r="F38" s="24">
        <v>5</v>
      </c>
      <c r="G38" s="12">
        <f t="shared" si="1"/>
        <v>13.157894736842104</v>
      </c>
      <c r="H38" s="9">
        <v>41</v>
      </c>
      <c r="I38" s="24">
        <v>9</v>
      </c>
      <c r="J38" s="10">
        <f t="shared" si="2"/>
        <v>21.951219512195124</v>
      </c>
    </row>
    <row r="39" spans="1:10" ht="16.5" x14ac:dyDescent="0.45">
      <c r="A39" s="22" t="s">
        <v>24</v>
      </c>
      <c r="B39" s="11">
        <v>130</v>
      </c>
      <c r="C39" s="24">
        <v>15</v>
      </c>
      <c r="D39" s="10">
        <f t="shared" si="0"/>
        <v>11.538461538461538</v>
      </c>
      <c r="E39" s="11">
        <v>130</v>
      </c>
      <c r="F39" s="24">
        <v>41</v>
      </c>
      <c r="G39" s="12">
        <f t="shared" si="1"/>
        <v>31.538461538461537</v>
      </c>
      <c r="H39" s="9">
        <v>140</v>
      </c>
      <c r="I39" s="24">
        <v>43</v>
      </c>
      <c r="J39" s="10">
        <f t="shared" si="2"/>
        <v>30.714285714285715</v>
      </c>
    </row>
    <row r="40" spans="1:10" ht="43.5" x14ac:dyDescent="0.45">
      <c r="A40" s="22" t="s">
        <v>31</v>
      </c>
      <c r="B40" s="11">
        <v>1467</v>
      </c>
      <c r="C40" s="24">
        <v>293</v>
      </c>
      <c r="D40" s="10">
        <f t="shared" si="0"/>
        <v>19.972733469665986</v>
      </c>
      <c r="E40" s="11">
        <v>1467</v>
      </c>
      <c r="F40" s="24">
        <v>341</v>
      </c>
      <c r="G40" s="12">
        <f t="shared" si="1"/>
        <v>23.244717109747786</v>
      </c>
      <c r="H40" s="9">
        <v>1144</v>
      </c>
      <c r="I40" s="24">
        <v>240</v>
      </c>
      <c r="J40" s="10">
        <f t="shared" si="2"/>
        <v>20.97902097902098</v>
      </c>
    </row>
    <row r="41" spans="1:10" ht="16.5" x14ac:dyDescent="0.45">
      <c r="A41" s="22" t="s">
        <v>11</v>
      </c>
      <c r="B41" s="11">
        <v>166</v>
      </c>
      <c r="C41" s="24">
        <v>30</v>
      </c>
      <c r="D41" s="10">
        <f t="shared" si="0"/>
        <v>18.072289156626507</v>
      </c>
      <c r="E41" s="11">
        <v>166</v>
      </c>
      <c r="F41" s="24">
        <v>41</v>
      </c>
      <c r="G41" s="12">
        <f t="shared" si="1"/>
        <v>24.69879518072289</v>
      </c>
      <c r="H41" s="9">
        <v>177</v>
      </c>
      <c r="I41" s="24">
        <v>65</v>
      </c>
      <c r="J41" s="10">
        <f t="shared" si="2"/>
        <v>36.72316384180791</v>
      </c>
    </row>
    <row r="42" spans="1:10" ht="16.5" x14ac:dyDescent="0.45">
      <c r="A42" s="22" t="s">
        <v>12</v>
      </c>
      <c r="B42" s="11">
        <v>952</v>
      </c>
      <c r="C42" s="24">
        <v>94</v>
      </c>
      <c r="D42" s="10">
        <f t="shared" si="0"/>
        <v>9.8739495798319332</v>
      </c>
      <c r="E42" s="11">
        <v>952</v>
      </c>
      <c r="F42" s="24">
        <v>98</v>
      </c>
      <c r="G42" s="12">
        <f t="shared" si="1"/>
        <v>10.294117647058822</v>
      </c>
      <c r="H42" s="9">
        <v>851</v>
      </c>
      <c r="I42" s="24">
        <v>170</v>
      </c>
      <c r="J42" s="10">
        <f t="shared" si="2"/>
        <v>19.9764982373678</v>
      </c>
    </row>
    <row r="43" spans="1:10" ht="29" x14ac:dyDescent="0.45">
      <c r="A43" s="22" t="s">
        <v>32</v>
      </c>
      <c r="B43" s="11">
        <v>30</v>
      </c>
      <c r="C43" s="24">
        <v>43</v>
      </c>
      <c r="D43" s="10">
        <f t="shared" si="0"/>
        <v>143.33333333333334</v>
      </c>
      <c r="E43" s="11">
        <v>30</v>
      </c>
      <c r="F43" s="24">
        <v>37</v>
      </c>
      <c r="G43" s="12">
        <f t="shared" si="1"/>
        <v>123.33333333333334</v>
      </c>
      <c r="H43" s="9">
        <v>50</v>
      </c>
      <c r="I43" s="24">
        <v>50</v>
      </c>
      <c r="J43" s="10">
        <f t="shared" si="2"/>
        <v>100</v>
      </c>
    </row>
    <row r="44" spans="1:10" ht="16.5" x14ac:dyDescent="0.45">
      <c r="A44" s="22" t="s">
        <v>25</v>
      </c>
      <c r="B44" s="11">
        <v>278</v>
      </c>
      <c r="C44" s="24">
        <v>119</v>
      </c>
      <c r="D44" s="10">
        <f t="shared" si="0"/>
        <v>42.805755395683455</v>
      </c>
      <c r="E44" s="11">
        <v>278</v>
      </c>
      <c r="F44" s="24">
        <v>130</v>
      </c>
      <c r="G44" s="12">
        <f t="shared" si="1"/>
        <v>46.762589928057551</v>
      </c>
      <c r="H44" s="9">
        <v>348</v>
      </c>
      <c r="I44" s="24">
        <v>193</v>
      </c>
      <c r="J44" s="10">
        <f t="shared" si="2"/>
        <v>55.459770114942529</v>
      </c>
    </row>
    <row r="45" spans="1:10" ht="16.5" x14ac:dyDescent="0.45">
      <c r="A45" s="22" t="s">
        <v>33</v>
      </c>
      <c r="B45" s="11">
        <v>112</v>
      </c>
      <c r="C45" s="24">
        <v>31</v>
      </c>
      <c r="D45" s="10">
        <f t="shared" si="0"/>
        <v>27.678571428571431</v>
      </c>
      <c r="E45" s="11">
        <v>112</v>
      </c>
      <c r="F45" s="24">
        <v>20</v>
      </c>
      <c r="G45" s="12">
        <f t="shared" si="1"/>
        <v>17.857142857142858</v>
      </c>
      <c r="H45" s="9">
        <v>133</v>
      </c>
      <c r="I45" s="24">
        <v>45</v>
      </c>
      <c r="J45" s="10">
        <f t="shared" si="2"/>
        <v>33.834586466165412</v>
      </c>
    </row>
    <row r="46" spans="1:10" ht="29" x14ac:dyDescent="0.45">
      <c r="A46" s="22" t="s">
        <v>13</v>
      </c>
      <c r="B46" s="11">
        <v>403</v>
      </c>
      <c r="C46" s="24">
        <v>184</v>
      </c>
      <c r="D46" s="10">
        <f t="shared" si="0"/>
        <v>45.6575682382134</v>
      </c>
      <c r="E46" s="11">
        <v>403</v>
      </c>
      <c r="F46" s="24">
        <v>126</v>
      </c>
      <c r="G46" s="12">
        <f t="shared" si="1"/>
        <v>31.265508684863523</v>
      </c>
      <c r="H46" s="9">
        <v>254</v>
      </c>
      <c r="I46" s="24">
        <v>250</v>
      </c>
      <c r="J46" s="10">
        <f t="shared" si="2"/>
        <v>98.425196850393704</v>
      </c>
    </row>
  </sheetData>
  <mergeCells count="8">
    <mergeCell ref="A1:J1"/>
    <mergeCell ref="A2:J3"/>
    <mergeCell ref="A4:J4"/>
    <mergeCell ref="A5:J5"/>
    <mergeCell ref="A6:A7"/>
    <mergeCell ref="B6:D6"/>
    <mergeCell ref="E6:G6"/>
    <mergeCell ref="H6:J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9775-4244-4770-AF6B-046E99B19B23}">
  <dimension ref="A1:J46"/>
  <sheetViews>
    <sheetView topLeftCell="A33" workbookViewId="0">
      <selection activeCell="M36" sqref="M36"/>
    </sheetView>
  </sheetViews>
  <sheetFormatPr baseColWidth="10" defaultRowHeight="14.5" x14ac:dyDescent="0.35"/>
  <sheetData>
    <row r="1" spans="1:10" x14ac:dyDescent="0.35">
      <c r="A1" s="43" t="s">
        <v>60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35">
      <c r="A2" s="37" t="s">
        <v>58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 ht="18.5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</row>
    <row r="5" spans="1:10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x14ac:dyDescent="0.35">
      <c r="A6" s="44" t="s">
        <v>2</v>
      </c>
      <c r="B6" s="46" t="s">
        <v>55</v>
      </c>
      <c r="C6" s="47"/>
      <c r="D6" s="48"/>
      <c r="E6" s="46" t="s">
        <v>56</v>
      </c>
      <c r="F6" s="47"/>
      <c r="G6" s="48"/>
      <c r="H6" s="46" t="s">
        <v>57</v>
      </c>
      <c r="I6" s="47"/>
      <c r="J6" s="48"/>
    </row>
    <row r="7" spans="1:10" ht="43.5" x14ac:dyDescent="0.35">
      <c r="A7" s="45"/>
      <c r="B7" s="5" t="s">
        <v>42</v>
      </c>
      <c r="C7" s="23" t="s">
        <v>45</v>
      </c>
      <c r="D7" s="21" t="s">
        <v>44</v>
      </c>
      <c r="E7" s="5" t="s">
        <v>42</v>
      </c>
      <c r="F7" s="23" t="s">
        <v>46</v>
      </c>
      <c r="G7" s="21" t="s">
        <v>44</v>
      </c>
      <c r="H7" s="5" t="s">
        <v>42</v>
      </c>
      <c r="I7" s="23" t="s">
        <v>43</v>
      </c>
      <c r="J7" s="5" t="s">
        <v>44</v>
      </c>
    </row>
    <row r="8" spans="1:10" ht="16.5" x14ac:dyDescent="0.45">
      <c r="A8" s="22" t="s">
        <v>26</v>
      </c>
      <c r="B8" s="11">
        <v>499</v>
      </c>
      <c r="C8" s="24">
        <v>135</v>
      </c>
      <c r="D8" s="10">
        <f t="shared" ref="D8:D46" si="0">SUM(C8/B8*100)</f>
        <v>27.054108216432866</v>
      </c>
      <c r="E8" s="11">
        <v>499</v>
      </c>
      <c r="F8" s="24">
        <v>98</v>
      </c>
      <c r="G8" s="12">
        <f t="shared" ref="G8:G46" si="1">SUM(F8/E8*100)</f>
        <v>19.639278557114228</v>
      </c>
      <c r="H8" s="9">
        <v>560</v>
      </c>
      <c r="I8" s="24">
        <v>159</v>
      </c>
      <c r="J8" s="10">
        <f t="shared" ref="J8:J46" si="2">SUM(I8/H8*100)</f>
        <v>28.392857142857142</v>
      </c>
    </row>
    <row r="9" spans="1:10" ht="16.5" x14ac:dyDescent="0.45">
      <c r="A9" s="22" t="s">
        <v>27</v>
      </c>
      <c r="B9" s="11">
        <v>54</v>
      </c>
      <c r="C9" s="24">
        <v>19</v>
      </c>
      <c r="D9" s="10">
        <f t="shared" si="0"/>
        <v>35.185185185185183</v>
      </c>
      <c r="E9" s="11">
        <v>54</v>
      </c>
      <c r="F9" s="24">
        <v>25</v>
      </c>
      <c r="G9" s="12">
        <f t="shared" si="1"/>
        <v>46.296296296296298</v>
      </c>
      <c r="H9" s="9">
        <v>51</v>
      </c>
      <c r="I9" s="24">
        <v>29</v>
      </c>
      <c r="J9" s="10">
        <f t="shared" si="2"/>
        <v>56.862745098039213</v>
      </c>
    </row>
    <row r="10" spans="1:10" s="31" customFormat="1" ht="29" x14ac:dyDescent="0.45">
      <c r="A10" s="22" t="s">
        <v>34</v>
      </c>
      <c r="B10" s="11">
        <v>61</v>
      </c>
      <c r="C10" s="11">
        <v>11</v>
      </c>
      <c r="D10" s="10">
        <f t="shared" si="0"/>
        <v>18.032786885245901</v>
      </c>
      <c r="E10" s="11">
        <v>61</v>
      </c>
      <c r="F10" s="11">
        <v>21</v>
      </c>
      <c r="G10" s="12">
        <f t="shared" si="1"/>
        <v>34.42622950819672</v>
      </c>
      <c r="H10" s="11">
        <v>105</v>
      </c>
      <c r="I10" s="11">
        <v>16</v>
      </c>
      <c r="J10" s="10">
        <f t="shared" si="2"/>
        <v>15.238095238095239</v>
      </c>
    </row>
    <row r="11" spans="1:10" ht="16.5" x14ac:dyDescent="0.45">
      <c r="A11" s="22" t="s">
        <v>14</v>
      </c>
      <c r="B11" s="11">
        <v>643</v>
      </c>
      <c r="C11" s="24">
        <v>204</v>
      </c>
      <c r="D11" s="10">
        <f t="shared" si="0"/>
        <v>31.726283048211506</v>
      </c>
      <c r="E11" s="11">
        <v>643</v>
      </c>
      <c r="F11" s="24">
        <v>133</v>
      </c>
      <c r="G11" s="12">
        <f t="shared" si="1"/>
        <v>20.684292379471227</v>
      </c>
      <c r="H11" s="9">
        <v>843</v>
      </c>
      <c r="I11" s="24">
        <v>188</v>
      </c>
      <c r="J11" s="10">
        <f t="shared" si="2"/>
        <v>22.301304863582445</v>
      </c>
    </row>
    <row r="12" spans="1:10" ht="16.5" x14ac:dyDescent="0.45">
      <c r="A12" s="22" t="s">
        <v>3</v>
      </c>
      <c r="B12" s="11">
        <v>8431</v>
      </c>
      <c r="C12" s="25">
        <v>3301</v>
      </c>
      <c r="D12" s="10">
        <f t="shared" si="0"/>
        <v>39.153125370655914</v>
      </c>
      <c r="E12" s="11">
        <v>8431</v>
      </c>
      <c r="F12" s="27">
        <v>5142</v>
      </c>
      <c r="G12" s="12">
        <f t="shared" si="1"/>
        <v>60.989206499822089</v>
      </c>
      <c r="H12" s="8">
        <v>10719</v>
      </c>
      <c r="I12" s="27">
        <v>7536</v>
      </c>
      <c r="J12" s="10">
        <f t="shared" si="2"/>
        <v>70.30506577106074</v>
      </c>
    </row>
    <row r="13" spans="1:10" ht="16.5" x14ac:dyDescent="0.45">
      <c r="A13" s="22" t="s">
        <v>35</v>
      </c>
      <c r="B13" s="11">
        <v>117</v>
      </c>
      <c r="C13" s="24">
        <v>32</v>
      </c>
      <c r="D13" s="10">
        <f t="shared" si="0"/>
        <v>27.350427350427353</v>
      </c>
      <c r="E13" s="11">
        <v>117</v>
      </c>
      <c r="F13" s="24">
        <v>30</v>
      </c>
      <c r="G13" s="12">
        <f t="shared" si="1"/>
        <v>25.641025641025639</v>
      </c>
      <c r="H13" s="9">
        <v>64</v>
      </c>
      <c r="I13" s="24">
        <v>48</v>
      </c>
      <c r="J13" s="10">
        <f t="shared" si="2"/>
        <v>75</v>
      </c>
    </row>
    <row r="14" spans="1:10" ht="43.5" x14ac:dyDescent="0.45">
      <c r="A14" s="22" t="s">
        <v>15</v>
      </c>
      <c r="B14" s="11">
        <v>236</v>
      </c>
      <c r="C14" s="24">
        <v>61</v>
      </c>
      <c r="D14" s="10">
        <f t="shared" si="0"/>
        <v>25.847457627118644</v>
      </c>
      <c r="E14" s="11">
        <v>236</v>
      </c>
      <c r="F14" s="24">
        <v>64</v>
      </c>
      <c r="G14" s="12">
        <f t="shared" si="1"/>
        <v>27.118644067796609</v>
      </c>
      <c r="H14" s="9">
        <v>231</v>
      </c>
      <c r="I14" s="24">
        <v>82</v>
      </c>
      <c r="J14" s="10">
        <f t="shared" si="2"/>
        <v>35.497835497835503</v>
      </c>
    </row>
    <row r="15" spans="1:10" ht="29" x14ac:dyDescent="0.45">
      <c r="A15" s="22" t="s">
        <v>16</v>
      </c>
      <c r="B15" s="11">
        <v>5736</v>
      </c>
      <c r="C15" s="24">
        <v>1637</v>
      </c>
      <c r="D15" s="10">
        <f t="shared" si="0"/>
        <v>28.539051603905158</v>
      </c>
      <c r="E15" s="11">
        <v>5736</v>
      </c>
      <c r="F15" s="24">
        <v>1227</v>
      </c>
      <c r="G15" s="12">
        <f t="shared" si="1"/>
        <v>21.39121338912134</v>
      </c>
      <c r="H15" s="9">
        <v>6878</v>
      </c>
      <c r="I15" s="24">
        <v>1341</v>
      </c>
      <c r="J15" s="10">
        <f t="shared" si="2"/>
        <v>19.496946786856643</v>
      </c>
    </row>
    <row r="16" spans="1:10" ht="29" x14ac:dyDescent="0.45">
      <c r="A16" s="22" t="s">
        <v>4</v>
      </c>
      <c r="B16" s="11">
        <v>576</v>
      </c>
      <c r="C16" s="29">
        <v>193</v>
      </c>
      <c r="D16" s="10">
        <f t="shared" si="0"/>
        <v>33.506944444444443</v>
      </c>
      <c r="E16" s="11">
        <v>576</v>
      </c>
      <c r="F16" s="24">
        <v>179</v>
      </c>
      <c r="G16" s="12">
        <f t="shared" si="1"/>
        <v>31.076388888888889</v>
      </c>
      <c r="H16" s="9">
        <v>657</v>
      </c>
      <c r="I16" s="24">
        <v>238</v>
      </c>
      <c r="J16" s="10">
        <f t="shared" si="2"/>
        <v>36.225266362252661</v>
      </c>
    </row>
    <row r="17" spans="1:10" ht="16.5" x14ac:dyDescent="0.45">
      <c r="A17" s="22" t="s">
        <v>28</v>
      </c>
      <c r="B17" s="11">
        <v>137</v>
      </c>
      <c r="C17" s="24">
        <v>27</v>
      </c>
      <c r="D17" s="10">
        <f t="shared" si="0"/>
        <v>19.708029197080293</v>
      </c>
      <c r="E17" s="11">
        <v>137</v>
      </c>
      <c r="F17" s="24">
        <v>25</v>
      </c>
      <c r="G17" s="12">
        <f t="shared" si="1"/>
        <v>18.248175182481752</v>
      </c>
      <c r="H17" s="9">
        <v>184</v>
      </c>
      <c r="I17" s="24">
        <v>21</v>
      </c>
      <c r="J17" s="10">
        <f t="shared" si="2"/>
        <v>11.413043478260869</v>
      </c>
    </row>
    <row r="18" spans="1:10" ht="16.5" x14ac:dyDescent="0.45">
      <c r="A18" s="22" t="s">
        <v>36</v>
      </c>
      <c r="B18" s="11">
        <v>62</v>
      </c>
      <c r="C18" s="24">
        <v>8</v>
      </c>
      <c r="D18" s="10">
        <f t="shared" si="0"/>
        <v>12.903225806451612</v>
      </c>
      <c r="E18" s="11">
        <v>62</v>
      </c>
      <c r="F18" s="24">
        <v>16</v>
      </c>
      <c r="G18" s="12">
        <f t="shared" si="1"/>
        <v>25.806451612903224</v>
      </c>
      <c r="H18" s="9">
        <v>69</v>
      </c>
      <c r="I18" s="24">
        <v>30</v>
      </c>
      <c r="J18" s="10">
        <f t="shared" si="2"/>
        <v>43.478260869565219</v>
      </c>
    </row>
    <row r="19" spans="1:10" ht="16.5" x14ac:dyDescent="0.45">
      <c r="A19" s="22" t="s">
        <v>37</v>
      </c>
      <c r="B19" s="11">
        <v>62</v>
      </c>
      <c r="C19" s="24">
        <v>15</v>
      </c>
      <c r="D19" s="10">
        <f t="shared" si="0"/>
        <v>24.193548387096776</v>
      </c>
      <c r="E19" s="11">
        <v>62</v>
      </c>
      <c r="F19" s="24">
        <v>11</v>
      </c>
      <c r="G19" s="12">
        <f t="shared" si="1"/>
        <v>17.741935483870968</v>
      </c>
      <c r="H19" s="9">
        <v>75</v>
      </c>
      <c r="I19" s="24">
        <v>19</v>
      </c>
      <c r="J19" s="10">
        <f t="shared" si="2"/>
        <v>25.333333333333336</v>
      </c>
    </row>
    <row r="20" spans="1:10" ht="16.5" x14ac:dyDescent="0.45">
      <c r="A20" s="22" t="s">
        <v>17</v>
      </c>
      <c r="B20" s="11">
        <v>2230</v>
      </c>
      <c r="C20" s="24">
        <v>702</v>
      </c>
      <c r="D20" s="10">
        <f t="shared" si="0"/>
        <v>31.479820627802692</v>
      </c>
      <c r="E20" s="11">
        <v>2230</v>
      </c>
      <c r="F20" s="24">
        <v>983</v>
      </c>
      <c r="G20" s="12">
        <f t="shared" si="1"/>
        <v>44.08071748878924</v>
      </c>
      <c r="H20" s="9">
        <v>2609</v>
      </c>
      <c r="I20" s="24">
        <v>799</v>
      </c>
      <c r="J20" s="10">
        <f t="shared" si="2"/>
        <v>30.624760444614797</v>
      </c>
    </row>
    <row r="21" spans="1:10" ht="16.5" x14ac:dyDescent="0.45">
      <c r="A21" s="22" t="s">
        <v>18</v>
      </c>
      <c r="B21" s="11">
        <v>543</v>
      </c>
      <c r="C21" s="24">
        <v>154</v>
      </c>
      <c r="D21" s="10">
        <f t="shared" si="0"/>
        <v>28.360957642725598</v>
      </c>
      <c r="E21" s="11">
        <v>543</v>
      </c>
      <c r="F21" s="24">
        <v>147</v>
      </c>
      <c r="G21" s="12">
        <f t="shared" si="1"/>
        <v>27.071823204419886</v>
      </c>
      <c r="H21" s="9">
        <v>634</v>
      </c>
      <c r="I21" s="24">
        <v>197</v>
      </c>
      <c r="J21" s="10">
        <f t="shared" si="2"/>
        <v>31.072555205047319</v>
      </c>
    </row>
    <row r="22" spans="1:10" ht="16.5" x14ac:dyDescent="0.45">
      <c r="A22" s="22" t="s">
        <v>5</v>
      </c>
      <c r="B22" s="11">
        <v>1425</v>
      </c>
      <c r="C22" s="24">
        <v>316</v>
      </c>
      <c r="D22" s="10">
        <f t="shared" si="0"/>
        <v>22.17543859649123</v>
      </c>
      <c r="E22" s="11">
        <v>1425</v>
      </c>
      <c r="F22" s="24">
        <v>223</v>
      </c>
      <c r="G22" s="12">
        <f t="shared" si="1"/>
        <v>15.649122807017543</v>
      </c>
      <c r="H22" s="9">
        <v>1082</v>
      </c>
      <c r="I22" s="24">
        <v>214</v>
      </c>
      <c r="J22" s="10">
        <f t="shared" si="2"/>
        <v>19.778188539741219</v>
      </c>
    </row>
    <row r="23" spans="1:10" ht="16.5" x14ac:dyDescent="0.45">
      <c r="A23" s="22" t="s">
        <v>19</v>
      </c>
      <c r="B23" s="11">
        <v>284</v>
      </c>
      <c r="C23" s="24">
        <v>91</v>
      </c>
      <c r="D23" s="10">
        <f t="shared" si="0"/>
        <v>32.04225352112676</v>
      </c>
      <c r="E23" s="11">
        <v>284</v>
      </c>
      <c r="F23" s="24">
        <v>76</v>
      </c>
      <c r="G23" s="12">
        <f t="shared" si="1"/>
        <v>26.760563380281688</v>
      </c>
      <c r="H23" s="9">
        <v>376</v>
      </c>
      <c r="I23" s="24">
        <v>148</v>
      </c>
      <c r="J23" s="10">
        <f t="shared" si="2"/>
        <v>39.361702127659576</v>
      </c>
    </row>
    <row r="24" spans="1:10" ht="29" x14ac:dyDescent="0.45">
      <c r="A24" s="22" t="s">
        <v>6</v>
      </c>
      <c r="B24" s="11">
        <v>488</v>
      </c>
      <c r="C24" s="24">
        <v>91</v>
      </c>
      <c r="D24" s="10">
        <f t="shared" si="0"/>
        <v>18.647540983606557</v>
      </c>
      <c r="E24" s="11">
        <v>488</v>
      </c>
      <c r="F24" s="24">
        <v>95</v>
      </c>
      <c r="G24" s="12">
        <f t="shared" si="1"/>
        <v>19.467213114754099</v>
      </c>
      <c r="H24" s="9">
        <v>514</v>
      </c>
      <c r="I24" s="24">
        <v>140</v>
      </c>
      <c r="J24" s="10">
        <f t="shared" si="2"/>
        <v>27.237354085603112</v>
      </c>
    </row>
    <row r="25" spans="1:10" ht="16.5" x14ac:dyDescent="0.45">
      <c r="A25" s="22" t="s">
        <v>29</v>
      </c>
      <c r="B25" s="11">
        <v>443</v>
      </c>
      <c r="C25" s="24">
        <v>275</v>
      </c>
      <c r="D25" s="10">
        <f t="shared" si="0"/>
        <v>62.07674943566591</v>
      </c>
      <c r="E25" s="11">
        <v>443</v>
      </c>
      <c r="F25" s="24">
        <v>289</v>
      </c>
      <c r="G25" s="12">
        <f t="shared" si="1"/>
        <v>65.237020316027085</v>
      </c>
      <c r="H25" s="9">
        <v>425</v>
      </c>
      <c r="I25" s="24">
        <v>233</v>
      </c>
      <c r="J25" s="10">
        <f t="shared" si="2"/>
        <v>54.823529411764703</v>
      </c>
    </row>
    <row r="26" spans="1:10" ht="16.5" x14ac:dyDescent="0.45">
      <c r="A26" s="22" t="s">
        <v>38</v>
      </c>
      <c r="B26" s="11">
        <v>130</v>
      </c>
      <c r="C26" s="24">
        <v>26</v>
      </c>
      <c r="D26" s="10">
        <f t="shared" si="0"/>
        <v>20</v>
      </c>
      <c r="E26" s="11">
        <v>130</v>
      </c>
      <c r="F26" s="24">
        <v>23</v>
      </c>
      <c r="G26" s="12">
        <f t="shared" si="1"/>
        <v>17.692307692307693</v>
      </c>
      <c r="H26" s="9">
        <v>123</v>
      </c>
      <c r="I26" s="24">
        <v>53</v>
      </c>
      <c r="J26" s="10">
        <f t="shared" si="2"/>
        <v>43.089430894308947</v>
      </c>
    </row>
    <row r="27" spans="1:10" ht="16.5" x14ac:dyDescent="0.45">
      <c r="A27" s="22" t="s">
        <v>30</v>
      </c>
      <c r="B27" s="11">
        <v>99</v>
      </c>
      <c r="C27" s="24">
        <v>24</v>
      </c>
      <c r="D27" s="10">
        <f t="shared" si="0"/>
        <v>24.242424242424242</v>
      </c>
      <c r="E27" s="11">
        <v>99</v>
      </c>
      <c r="F27" s="24">
        <v>20</v>
      </c>
      <c r="G27" s="12">
        <f t="shared" si="1"/>
        <v>20.202020202020201</v>
      </c>
      <c r="H27" s="9">
        <v>95</v>
      </c>
      <c r="I27" s="24">
        <v>19</v>
      </c>
      <c r="J27" s="10">
        <f t="shared" si="2"/>
        <v>20</v>
      </c>
    </row>
    <row r="28" spans="1:10" ht="29" x14ac:dyDescent="0.45">
      <c r="A28" s="22" t="s">
        <v>7</v>
      </c>
      <c r="B28" s="11">
        <v>224</v>
      </c>
      <c r="C28" s="24">
        <v>41</v>
      </c>
      <c r="D28" s="10">
        <f t="shared" si="0"/>
        <v>18.303571428571427</v>
      </c>
      <c r="E28" s="11">
        <v>224</v>
      </c>
      <c r="F28" s="24">
        <v>78</v>
      </c>
      <c r="G28" s="12">
        <f t="shared" si="1"/>
        <v>34.821428571428569</v>
      </c>
      <c r="H28" s="9">
        <v>243</v>
      </c>
      <c r="I28" s="24">
        <v>143</v>
      </c>
      <c r="J28" s="10">
        <f t="shared" si="2"/>
        <v>58.847736625514401</v>
      </c>
    </row>
    <row r="29" spans="1:10" ht="29" x14ac:dyDescent="0.45">
      <c r="A29" s="22" t="s">
        <v>20</v>
      </c>
      <c r="B29" s="11">
        <v>220</v>
      </c>
      <c r="C29" s="24">
        <v>46</v>
      </c>
      <c r="D29" s="10">
        <f t="shared" si="0"/>
        <v>20.909090909090907</v>
      </c>
      <c r="E29" s="11">
        <v>220</v>
      </c>
      <c r="F29" s="24">
        <v>73</v>
      </c>
      <c r="G29" s="12">
        <f t="shared" si="1"/>
        <v>33.181818181818187</v>
      </c>
      <c r="H29" s="9">
        <v>212</v>
      </c>
      <c r="I29" s="24">
        <v>144</v>
      </c>
      <c r="J29" s="10">
        <f t="shared" si="2"/>
        <v>67.924528301886795</v>
      </c>
    </row>
    <row r="30" spans="1:10" ht="16.5" x14ac:dyDescent="0.45">
      <c r="A30" s="22" t="s">
        <v>8</v>
      </c>
      <c r="B30" s="11">
        <v>135</v>
      </c>
      <c r="C30" s="24">
        <v>63</v>
      </c>
      <c r="D30" s="10">
        <f t="shared" si="0"/>
        <v>46.666666666666664</v>
      </c>
      <c r="E30" s="11">
        <v>135</v>
      </c>
      <c r="F30" s="24">
        <v>43</v>
      </c>
      <c r="G30" s="12">
        <f t="shared" si="1"/>
        <v>31.851851851851855</v>
      </c>
      <c r="H30" s="9">
        <v>190</v>
      </c>
      <c r="I30" s="24">
        <v>71</v>
      </c>
      <c r="J30" s="10">
        <f t="shared" si="2"/>
        <v>37.368421052631575</v>
      </c>
    </row>
    <row r="31" spans="1:10" ht="29" x14ac:dyDescent="0.45">
      <c r="A31" s="22" t="s">
        <v>9</v>
      </c>
      <c r="B31" s="11">
        <v>1283</v>
      </c>
      <c r="C31" s="24">
        <v>244</v>
      </c>
      <c r="D31" s="10">
        <f t="shared" si="0"/>
        <v>19.01792673421668</v>
      </c>
      <c r="E31" s="11">
        <v>1283</v>
      </c>
      <c r="F31" s="24">
        <v>188</v>
      </c>
      <c r="G31" s="12">
        <f t="shared" si="1"/>
        <v>14.65315666406859</v>
      </c>
      <c r="H31" s="9">
        <v>1399</v>
      </c>
      <c r="I31" s="24">
        <v>250</v>
      </c>
      <c r="J31" s="10">
        <f t="shared" si="2"/>
        <v>17.869907076483202</v>
      </c>
    </row>
    <row r="32" spans="1:10" ht="16.5" x14ac:dyDescent="0.45">
      <c r="A32" s="22" t="s">
        <v>39</v>
      </c>
      <c r="B32" s="11">
        <v>259</v>
      </c>
      <c r="C32" s="24">
        <v>59</v>
      </c>
      <c r="D32" s="10">
        <f t="shared" si="0"/>
        <v>22.779922779922778</v>
      </c>
      <c r="E32" s="11">
        <v>259</v>
      </c>
      <c r="F32" s="24">
        <v>78</v>
      </c>
      <c r="G32" s="12">
        <f t="shared" si="1"/>
        <v>30.115830115830118</v>
      </c>
      <c r="H32" s="9">
        <v>208</v>
      </c>
      <c r="I32" s="24">
        <v>59</v>
      </c>
      <c r="J32" s="10">
        <f t="shared" si="2"/>
        <v>28.365384615384613</v>
      </c>
    </row>
    <row r="33" spans="1:10" ht="29" x14ac:dyDescent="0.45">
      <c r="A33" s="22" t="s">
        <v>40</v>
      </c>
      <c r="B33" s="11">
        <v>36</v>
      </c>
      <c r="C33" s="24">
        <v>5</v>
      </c>
      <c r="D33" s="10">
        <f t="shared" si="0"/>
        <v>13.888888888888889</v>
      </c>
      <c r="E33" s="11">
        <v>36</v>
      </c>
      <c r="F33" s="24">
        <v>4</v>
      </c>
      <c r="G33" s="12">
        <f t="shared" si="1"/>
        <v>11.111111111111111</v>
      </c>
      <c r="H33" s="9">
        <v>36</v>
      </c>
      <c r="I33" s="24">
        <v>13</v>
      </c>
      <c r="J33" s="10">
        <f t="shared" si="2"/>
        <v>36.111111111111107</v>
      </c>
    </row>
    <row r="34" spans="1:10" ht="16.5" x14ac:dyDescent="0.45">
      <c r="A34" s="22" t="s">
        <v>10</v>
      </c>
      <c r="B34" s="11">
        <v>581</v>
      </c>
      <c r="C34" s="24">
        <v>88</v>
      </c>
      <c r="D34" s="10">
        <f t="shared" si="0"/>
        <v>15.146299483648882</v>
      </c>
      <c r="E34" s="11">
        <v>581</v>
      </c>
      <c r="F34" s="24">
        <v>97</v>
      </c>
      <c r="G34" s="12">
        <f t="shared" si="1"/>
        <v>16.69535283993115</v>
      </c>
      <c r="H34" s="9">
        <v>608</v>
      </c>
      <c r="I34" s="24">
        <v>97</v>
      </c>
      <c r="J34" s="10">
        <f t="shared" si="2"/>
        <v>15.953947368421053</v>
      </c>
    </row>
    <row r="35" spans="1:10" ht="29" x14ac:dyDescent="0.45">
      <c r="A35" s="22" t="s">
        <v>41</v>
      </c>
      <c r="B35" s="11">
        <v>129</v>
      </c>
      <c r="C35" s="24">
        <v>41</v>
      </c>
      <c r="D35" s="10">
        <f t="shared" si="0"/>
        <v>31.782945736434108</v>
      </c>
      <c r="E35" s="11">
        <v>129</v>
      </c>
      <c r="F35" s="24">
        <v>65</v>
      </c>
      <c r="G35" s="12">
        <f t="shared" si="1"/>
        <v>50.387596899224803</v>
      </c>
      <c r="H35" s="9">
        <v>153</v>
      </c>
      <c r="I35" s="24">
        <v>61</v>
      </c>
      <c r="J35" s="10">
        <f t="shared" si="2"/>
        <v>39.869281045751634</v>
      </c>
    </row>
    <row r="36" spans="1:10" ht="29" x14ac:dyDescent="0.45">
      <c r="A36" s="22" t="s">
        <v>21</v>
      </c>
      <c r="B36" s="11">
        <v>228</v>
      </c>
      <c r="C36" s="24">
        <v>39</v>
      </c>
      <c r="D36" s="10">
        <f t="shared" si="0"/>
        <v>17.105263157894736</v>
      </c>
      <c r="E36" s="11">
        <v>228</v>
      </c>
      <c r="F36" s="24">
        <v>32</v>
      </c>
      <c r="G36" s="12">
        <f t="shared" si="1"/>
        <v>14.035087719298245</v>
      </c>
      <c r="H36" s="9">
        <v>219</v>
      </c>
      <c r="I36" s="24">
        <v>51</v>
      </c>
      <c r="J36" s="10">
        <f t="shared" si="2"/>
        <v>23.287671232876711</v>
      </c>
    </row>
    <row r="37" spans="1:10" ht="29" x14ac:dyDescent="0.45">
      <c r="A37" s="22" t="s">
        <v>22</v>
      </c>
      <c r="B37" s="11">
        <v>33</v>
      </c>
      <c r="C37" s="24">
        <v>24</v>
      </c>
      <c r="D37" s="10">
        <f t="shared" si="0"/>
        <v>72.727272727272734</v>
      </c>
      <c r="E37" s="11">
        <v>33</v>
      </c>
      <c r="F37" s="24">
        <v>11</v>
      </c>
      <c r="G37" s="12">
        <f t="shared" si="1"/>
        <v>33.333333333333329</v>
      </c>
      <c r="H37" s="9">
        <v>38</v>
      </c>
      <c r="I37" s="24">
        <v>11</v>
      </c>
      <c r="J37" s="10">
        <f t="shared" si="2"/>
        <v>28.947368421052634</v>
      </c>
    </row>
    <row r="38" spans="1:10" ht="29" x14ac:dyDescent="0.45">
      <c r="A38" s="22" t="s">
        <v>23</v>
      </c>
      <c r="B38" s="11">
        <v>38</v>
      </c>
      <c r="C38" s="24">
        <v>10</v>
      </c>
      <c r="D38" s="10">
        <f t="shared" si="0"/>
        <v>26.315789473684209</v>
      </c>
      <c r="E38" s="11">
        <v>38</v>
      </c>
      <c r="F38" s="24">
        <v>5</v>
      </c>
      <c r="G38" s="12">
        <f t="shared" si="1"/>
        <v>13.157894736842104</v>
      </c>
      <c r="H38" s="9">
        <v>41</v>
      </c>
      <c r="I38" s="24">
        <v>9</v>
      </c>
      <c r="J38" s="10">
        <f t="shared" si="2"/>
        <v>21.951219512195124</v>
      </c>
    </row>
    <row r="39" spans="1:10" ht="16.5" x14ac:dyDescent="0.45">
      <c r="A39" s="22" t="s">
        <v>24</v>
      </c>
      <c r="B39" s="11">
        <v>130</v>
      </c>
      <c r="C39" s="24">
        <v>15</v>
      </c>
      <c r="D39" s="10">
        <f t="shared" si="0"/>
        <v>11.538461538461538</v>
      </c>
      <c r="E39" s="11">
        <v>130</v>
      </c>
      <c r="F39" s="24">
        <v>41</v>
      </c>
      <c r="G39" s="12">
        <f t="shared" si="1"/>
        <v>31.538461538461537</v>
      </c>
      <c r="H39" s="9">
        <v>140</v>
      </c>
      <c r="I39" s="24">
        <v>43</v>
      </c>
      <c r="J39" s="10">
        <f t="shared" si="2"/>
        <v>30.714285714285715</v>
      </c>
    </row>
    <row r="40" spans="1:10" ht="43.5" x14ac:dyDescent="0.45">
      <c r="A40" s="22" t="s">
        <v>31</v>
      </c>
      <c r="B40" s="11">
        <v>1467</v>
      </c>
      <c r="C40" s="24">
        <v>296</v>
      </c>
      <c r="D40" s="10">
        <f t="shared" si="0"/>
        <v>20.177232447171097</v>
      </c>
      <c r="E40" s="11">
        <v>1467</v>
      </c>
      <c r="F40" s="24">
        <v>341</v>
      </c>
      <c r="G40" s="12">
        <f t="shared" si="1"/>
        <v>23.244717109747786</v>
      </c>
      <c r="H40" s="9">
        <v>1144</v>
      </c>
      <c r="I40" s="24">
        <v>242</v>
      </c>
      <c r="J40" s="10">
        <f t="shared" si="2"/>
        <v>21.153846153846153</v>
      </c>
    </row>
    <row r="41" spans="1:10" ht="16.5" x14ac:dyDescent="0.45">
      <c r="A41" s="22" t="s">
        <v>11</v>
      </c>
      <c r="B41" s="11">
        <v>166</v>
      </c>
      <c r="C41" s="24">
        <v>31</v>
      </c>
      <c r="D41" s="10">
        <f t="shared" si="0"/>
        <v>18.674698795180721</v>
      </c>
      <c r="E41" s="11">
        <v>166</v>
      </c>
      <c r="F41" s="24">
        <v>42</v>
      </c>
      <c r="G41" s="12">
        <f t="shared" si="1"/>
        <v>25.301204819277107</v>
      </c>
      <c r="H41" s="9">
        <v>177</v>
      </c>
      <c r="I41" s="24">
        <v>65</v>
      </c>
      <c r="J41" s="10">
        <f t="shared" si="2"/>
        <v>36.72316384180791</v>
      </c>
    </row>
    <row r="42" spans="1:10" ht="16.5" x14ac:dyDescent="0.45">
      <c r="A42" s="22" t="s">
        <v>12</v>
      </c>
      <c r="B42" s="11">
        <v>952</v>
      </c>
      <c r="C42" s="24">
        <v>97</v>
      </c>
      <c r="D42" s="10">
        <f t="shared" si="0"/>
        <v>10.1890756302521</v>
      </c>
      <c r="E42" s="11">
        <v>952</v>
      </c>
      <c r="F42" s="24">
        <v>100</v>
      </c>
      <c r="G42" s="12">
        <f t="shared" si="1"/>
        <v>10.504201680672269</v>
      </c>
      <c r="H42" s="9">
        <v>851</v>
      </c>
      <c r="I42" s="24">
        <v>170</v>
      </c>
      <c r="J42" s="10">
        <f t="shared" si="2"/>
        <v>19.9764982373678</v>
      </c>
    </row>
    <row r="43" spans="1:10" ht="29" x14ac:dyDescent="0.45">
      <c r="A43" s="22" t="s">
        <v>32</v>
      </c>
      <c r="B43" s="11">
        <v>30</v>
      </c>
      <c r="C43" s="24">
        <v>43</v>
      </c>
      <c r="D43" s="10">
        <f t="shared" si="0"/>
        <v>143.33333333333334</v>
      </c>
      <c r="E43" s="11">
        <v>30</v>
      </c>
      <c r="F43" s="24">
        <v>37</v>
      </c>
      <c r="G43" s="12">
        <f t="shared" si="1"/>
        <v>123.33333333333334</v>
      </c>
      <c r="H43" s="9">
        <v>50</v>
      </c>
      <c r="I43" s="24">
        <v>50</v>
      </c>
      <c r="J43" s="10">
        <f t="shared" si="2"/>
        <v>100</v>
      </c>
    </row>
    <row r="44" spans="1:10" ht="16.5" x14ac:dyDescent="0.45">
      <c r="A44" s="22" t="s">
        <v>25</v>
      </c>
      <c r="B44" s="11">
        <v>278</v>
      </c>
      <c r="C44" s="24">
        <v>125</v>
      </c>
      <c r="D44" s="10">
        <f t="shared" si="0"/>
        <v>44.964028776978417</v>
      </c>
      <c r="E44" s="11">
        <v>278</v>
      </c>
      <c r="F44" s="24">
        <v>137</v>
      </c>
      <c r="G44" s="12">
        <f t="shared" si="1"/>
        <v>49.280575539568346</v>
      </c>
      <c r="H44" s="9">
        <v>348</v>
      </c>
      <c r="I44" s="24">
        <v>195</v>
      </c>
      <c r="J44" s="10">
        <f t="shared" si="2"/>
        <v>56.034482758620683</v>
      </c>
    </row>
    <row r="45" spans="1:10" ht="16.5" x14ac:dyDescent="0.45">
      <c r="A45" s="22" t="s">
        <v>33</v>
      </c>
      <c r="B45" s="11">
        <v>112</v>
      </c>
      <c r="C45" s="24">
        <v>33</v>
      </c>
      <c r="D45" s="10">
        <f t="shared" si="0"/>
        <v>29.464285714285715</v>
      </c>
      <c r="E45" s="11">
        <v>112</v>
      </c>
      <c r="F45" s="24">
        <v>20</v>
      </c>
      <c r="G45" s="12">
        <f t="shared" si="1"/>
        <v>17.857142857142858</v>
      </c>
      <c r="H45" s="9">
        <v>133</v>
      </c>
      <c r="I45" s="24">
        <v>45</v>
      </c>
      <c r="J45" s="10">
        <f t="shared" si="2"/>
        <v>33.834586466165412</v>
      </c>
    </row>
    <row r="46" spans="1:10" ht="29" x14ac:dyDescent="0.45">
      <c r="A46" s="22" t="s">
        <v>13</v>
      </c>
      <c r="B46" s="11">
        <v>403</v>
      </c>
      <c r="C46" s="24">
        <v>187</v>
      </c>
      <c r="D46" s="10">
        <f t="shared" si="0"/>
        <v>46.401985111662533</v>
      </c>
      <c r="E46" s="11">
        <v>403</v>
      </c>
      <c r="F46" s="24">
        <v>128</v>
      </c>
      <c r="G46" s="12">
        <f t="shared" si="1"/>
        <v>31.761786600496279</v>
      </c>
      <c r="H46" s="9">
        <v>254</v>
      </c>
      <c r="I46" s="24">
        <v>255</v>
      </c>
      <c r="J46" s="10">
        <f t="shared" si="2"/>
        <v>100.39370078740157</v>
      </c>
    </row>
  </sheetData>
  <mergeCells count="8">
    <mergeCell ref="A1:J1"/>
    <mergeCell ref="A2:J3"/>
    <mergeCell ref="A4:J4"/>
    <mergeCell ref="A5:J5"/>
    <mergeCell ref="A6:A7"/>
    <mergeCell ref="B6:D6"/>
    <mergeCell ref="E6:G6"/>
    <mergeCell ref="H6:J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BFDA-EEDB-4BDA-BB78-1AA83991AA74}">
  <dimension ref="A1:J46"/>
  <sheetViews>
    <sheetView topLeftCell="A29" workbookViewId="0">
      <selection activeCell="C40" sqref="C40"/>
    </sheetView>
  </sheetViews>
  <sheetFormatPr baseColWidth="10" defaultRowHeight="14.5" x14ac:dyDescent="0.35"/>
  <sheetData>
    <row r="1" spans="1:10" x14ac:dyDescent="0.35">
      <c r="A1" s="43" t="s">
        <v>60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35">
      <c r="A2" s="37" t="s">
        <v>58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 ht="18.5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</row>
    <row r="5" spans="1:10" x14ac:dyDescent="0.35">
      <c r="A5" s="39" t="s">
        <v>1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x14ac:dyDescent="0.35">
      <c r="A6" s="44" t="s">
        <v>2</v>
      </c>
      <c r="B6" s="46" t="s">
        <v>55</v>
      </c>
      <c r="C6" s="47"/>
      <c r="D6" s="48"/>
      <c r="E6" s="46" t="s">
        <v>56</v>
      </c>
      <c r="F6" s="47"/>
      <c r="G6" s="48"/>
      <c r="H6" s="46" t="s">
        <v>57</v>
      </c>
      <c r="I6" s="47"/>
      <c r="J6" s="48"/>
    </row>
    <row r="7" spans="1:10" ht="43.5" x14ac:dyDescent="0.35">
      <c r="A7" s="45"/>
      <c r="B7" s="5" t="s">
        <v>42</v>
      </c>
      <c r="C7" s="23" t="s">
        <v>45</v>
      </c>
      <c r="D7" s="28" t="s">
        <v>44</v>
      </c>
      <c r="E7" s="5" t="s">
        <v>42</v>
      </c>
      <c r="F7" s="23" t="s">
        <v>46</v>
      </c>
      <c r="G7" s="28" t="s">
        <v>44</v>
      </c>
      <c r="H7" s="5" t="s">
        <v>42</v>
      </c>
      <c r="I7" s="23" t="s">
        <v>43</v>
      </c>
      <c r="J7" s="5" t="s">
        <v>44</v>
      </c>
    </row>
    <row r="8" spans="1:10" ht="16.5" x14ac:dyDescent="0.45">
      <c r="A8" s="22" t="s">
        <v>26</v>
      </c>
      <c r="B8" s="11">
        <v>499</v>
      </c>
      <c r="C8" s="24">
        <v>140</v>
      </c>
      <c r="D8" s="10">
        <f t="shared" ref="D8:D46" si="0">SUM(C8/B8*100)</f>
        <v>28.056112224448899</v>
      </c>
      <c r="E8" s="11">
        <v>499</v>
      </c>
      <c r="F8" s="24">
        <v>101</v>
      </c>
      <c r="G8" s="12">
        <f t="shared" ref="G8:G46" si="1">SUM(F8/E8*100)</f>
        <v>20.240480961923847</v>
      </c>
      <c r="H8" s="9">
        <v>560</v>
      </c>
      <c r="I8" s="24">
        <v>159</v>
      </c>
      <c r="J8" s="10">
        <f t="shared" ref="J8:J46" si="2">SUM(I8/H8*100)</f>
        <v>28.392857142857142</v>
      </c>
    </row>
    <row r="9" spans="1:10" ht="16.5" x14ac:dyDescent="0.45">
      <c r="A9" s="22" t="s">
        <v>27</v>
      </c>
      <c r="B9" s="11">
        <v>54</v>
      </c>
      <c r="C9" s="24">
        <v>20</v>
      </c>
      <c r="D9" s="10">
        <f t="shared" si="0"/>
        <v>37.037037037037038</v>
      </c>
      <c r="E9" s="11">
        <v>54</v>
      </c>
      <c r="F9" s="24">
        <v>29</v>
      </c>
      <c r="G9" s="12">
        <f t="shared" si="1"/>
        <v>53.703703703703709</v>
      </c>
      <c r="H9" s="9">
        <v>51</v>
      </c>
      <c r="I9" s="24">
        <v>32</v>
      </c>
      <c r="J9" s="10">
        <f t="shared" si="2"/>
        <v>62.745098039215684</v>
      </c>
    </row>
    <row r="10" spans="1:10" ht="29" x14ac:dyDescent="0.45">
      <c r="A10" s="22" t="s">
        <v>34</v>
      </c>
      <c r="B10" s="11">
        <v>61</v>
      </c>
      <c r="C10" s="11">
        <v>13</v>
      </c>
      <c r="D10" s="10">
        <f t="shared" si="0"/>
        <v>21.311475409836063</v>
      </c>
      <c r="E10" s="11">
        <v>61</v>
      </c>
      <c r="F10" s="11">
        <v>23</v>
      </c>
      <c r="G10" s="12">
        <f t="shared" si="1"/>
        <v>37.704918032786885</v>
      </c>
      <c r="H10" s="11">
        <v>105</v>
      </c>
      <c r="I10" s="11">
        <v>24</v>
      </c>
      <c r="J10" s="10">
        <f t="shared" si="2"/>
        <v>22.857142857142858</v>
      </c>
    </row>
    <row r="11" spans="1:10" ht="16.5" x14ac:dyDescent="0.45">
      <c r="A11" s="22" t="s">
        <v>14</v>
      </c>
      <c r="B11" s="11">
        <v>643</v>
      </c>
      <c r="C11" s="24">
        <v>204</v>
      </c>
      <c r="D11" s="10">
        <f t="shared" si="0"/>
        <v>31.726283048211506</v>
      </c>
      <c r="E11" s="11">
        <v>643</v>
      </c>
      <c r="F11" s="24">
        <v>133</v>
      </c>
      <c r="G11" s="12">
        <f t="shared" si="1"/>
        <v>20.684292379471227</v>
      </c>
      <c r="H11" s="9">
        <v>843</v>
      </c>
      <c r="I11" s="24">
        <v>188</v>
      </c>
      <c r="J11" s="10">
        <f t="shared" si="2"/>
        <v>22.301304863582445</v>
      </c>
    </row>
    <row r="12" spans="1:10" ht="16.5" x14ac:dyDescent="0.45">
      <c r="A12" s="22" t="s">
        <v>3</v>
      </c>
      <c r="B12" s="11">
        <v>8431</v>
      </c>
      <c r="C12" s="25">
        <v>3381</v>
      </c>
      <c r="D12" s="10">
        <f t="shared" si="0"/>
        <v>40.102004507175899</v>
      </c>
      <c r="E12" s="11">
        <v>8431</v>
      </c>
      <c r="F12" s="27">
        <v>5207</v>
      </c>
      <c r="G12" s="12">
        <f t="shared" si="1"/>
        <v>61.760170798244573</v>
      </c>
      <c r="H12" s="8">
        <v>10719</v>
      </c>
      <c r="I12" s="27">
        <v>7589</v>
      </c>
      <c r="J12" s="10">
        <f t="shared" si="2"/>
        <v>70.799514880119418</v>
      </c>
    </row>
    <row r="13" spans="1:10" ht="16.5" x14ac:dyDescent="0.45">
      <c r="A13" s="22" t="s">
        <v>35</v>
      </c>
      <c r="B13" s="11">
        <v>117</v>
      </c>
      <c r="C13" s="24">
        <v>32</v>
      </c>
      <c r="D13" s="10">
        <f t="shared" si="0"/>
        <v>27.350427350427353</v>
      </c>
      <c r="E13" s="11">
        <v>117</v>
      </c>
      <c r="F13" s="24">
        <v>30</v>
      </c>
      <c r="G13" s="12">
        <f t="shared" si="1"/>
        <v>25.641025641025639</v>
      </c>
      <c r="H13" s="9">
        <v>64</v>
      </c>
      <c r="I13" s="24">
        <v>48</v>
      </c>
      <c r="J13" s="10">
        <f t="shared" si="2"/>
        <v>75</v>
      </c>
    </row>
    <row r="14" spans="1:10" ht="43.5" x14ac:dyDescent="0.45">
      <c r="A14" s="22" t="s">
        <v>15</v>
      </c>
      <c r="B14" s="11">
        <v>236</v>
      </c>
      <c r="C14" s="24">
        <v>61</v>
      </c>
      <c r="D14" s="10">
        <f t="shared" si="0"/>
        <v>25.847457627118644</v>
      </c>
      <c r="E14" s="11">
        <v>236</v>
      </c>
      <c r="F14" s="24">
        <v>65</v>
      </c>
      <c r="G14" s="12">
        <f t="shared" si="1"/>
        <v>27.542372881355931</v>
      </c>
      <c r="H14" s="9">
        <v>231</v>
      </c>
      <c r="I14" s="24">
        <v>82</v>
      </c>
      <c r="J14" s="10">
        <f t="shared" si="2"/>
        <v>35.497835497835503</v>
      </c>
    </row>
    <row r="15" spans="1:10" ht="29" x14ac:dyDescent="0.45">
      <c r="A15" s="22" t="s">
        <v>16</v>
      </c>
      <c r="B15" s="11">
        <v>5736</v>
      </c>
      <c r="C15" s="24">
        <v>1774</v>
      </c>
      <c r="D15" s="10">
        <f t="shared" si="0"/>
        <v>30.927475592747562</v>
      </c>
      <c r="E15" s="11">
        <v>5736</v>
      </c>
      <c r="F15" s="24">
        <v>1387</v>
      </c>
      <c r="G15" s="12">
        <f t="shared" si="1"/>
        <v>24.180613668061369</v>
      </c>
      <c r="H15" s="9">
        <v>6878</v>
      </c>
      <c r="I15" s="24">
        <v>1492</v>
      </c>
      <c r="J15" s="10">
        <f t="shared" si="2"/>
        <v>21.692352428031406</v>
      </c>
    </row>
    <row r="16" spans="1:10" ht="29" x14ac:dyDescent="0.45">
      <c r="A16" s="22" t="s">
        <v>4</v>
      </c>
      <c r="B16" s="11">
        <v>576</v>
      </c>
      <c r="C16" s="29">
        <v>199</v>
      </c>
      <c r="D16" s="10">
        <f t="shared" si="0"/>
        <v>34.548611111111107</v>
      </c>
      <c r="E16" s="11">
        <v>576</v>
      </c>
      <c r="F16" s="24">
        <v>186</v>
      </c>
      <c r="G16" s="12">
        <f t="shared" si="1"/>
        <v>32.291666666666671</v>
      </c>
      <c r="H16" s="9">
        <v>657</v>
      </c>
      <c r="I16" s="24">
        <v>247</v>
      </c>
      <c r="J16" s="10">
        <f t="shared" si="2"/>
        <v>37.595129375951295</v>
      </c>
    </row>
    <row r="17" spans="1:10" ht="16.5" x14ac:dyDescent="0.45">
      <c r="A17" s="22" t="s">
        <v>28</v>
      </c>
      <c r="B17" s="11">
        <v>137</v>
      </c>
      <c r="C17" s="24">
        <v>27</v>
      </c>
      <c r="D17" s="10">
        <f t="shared" si="0"/>
        <v>19.708029197080293</v>
      </c>
      <c r="E17" s="11">
        <v>137</v>
      </c>
      <c r="F17" s="24">
        <v>33</v>
      </c>
      <c r="G17" s="12">
        <f t="shared" si="1"/>
        <v>24.087591240875913</v>
      </c>
      <c r="H17" s="9">
        <v>184</v>
      </c>
      <c r="I17" s="24">
        <v>26</v>
      </c>
      <c r="J17" s="10">
        <f t="shared" si="2"/>
        <v>14.130434782608695</v>
      </c>
    </row>
    <row r="18" spans="1:10" ht="16.5" x14ac:dyDescent="0.45">
      <c r="A18" s="22" t="s">
        <v>36</v>
      </c>
      <c r="B18" s="11">
        <v>62</v>
      </c>
      <c r="C18" s="24">
        <v>8</v>
      </c>
      <c r="D18" s="10">
        <f t="shared" si="0"/>
        <v>12.903225806451612</v>
      </c>
      <c r="E18" s="11">
        <v>62</v>
      </c>
      <c r="F18" s="24">
        <v>16</v>
      </c>
      <c r="G18" s="12">
        <f t="shared" si="1"/>
        <v>25.806451612903224</v>
      </c>
      <c r="H18" s="9">
        <v>69</v>
      </c>
      <c r="I18" s="24">
        <v>31</v>
      </c>
      <c r="J18" s="10">
        <f t="shared" si="2"/>
        <v>44.927536231884055</v>
      </c>
    </row>
    <row r="19" spans="1:10" ht="16.5" x14ac:dyDescent="0.45">
      <c r="A19" s="22" t="s">
        <v>37</v>
      </c>
      <c r="B19" s="11">
        <v>62</v>
      </c>
      <c r="C19" s="24">
        <v>15</v>
      </c>
      <c r="D19" s="10">
        <f t="shared" si="0"/>
        <v>24.193548387096776</v>
      </c>
      <c r="E19" s="11">
        <v>62</v>
      </c>
      <c r="F19" s="24">
        <v>11</v>
      </c>
      <c r="G19" s="12">
        <f t="shared" si="1"/>
        <v>17.741935483870968</v>
      </c>
      <c r="H19" s="9">
        <v>75</v>
      </c>
      <c r="I19" s="24">
        <v>19</v>
      </c>
      <c r="J19" s="10">
        <f t="shared" si="2"/>
        <v>25.333333333333336</v>
      </c>
    </row>
    <row r="20" spans="1:10" ht="16.5" x14ac:dyDescent="0.45">
      <c r="A20" s="22" t="s">
        <v>17</v>
      </c>
      <c r="B20" s="11">
        <v>2230</v>
      </c>
      <c r="C20" s="24">
        <v>750</v>
      </c>
      <c r="D20" s="10">
        <f t="shared" si="0"/>
        <v>33.632286995515699</v>
      </c>
      <c r="E20" s="11">
        <v>2230</v>
      </c>
      <c r="F20" s="24">
        <v>1021</v>
      </c>
      <c r="G20" s="12">
        <f t="shared" si="1"/>
        <v>45.784753363228695</v>
      </c>
      <c r="H20" s="9">
        <v>2609</v>
      </c>
      <c r="I20" s="24">
        <v>896</v>
      </c>
      <c r="J20" s="10">
        <f t="shared" si="2"/>
        <v>34.342660022997315</v>
      </c>
    </row>
    <row r="21" spans="1:10" ht="16.5" x14ac:dyDescent="0.45">
      <c r="A21" s="22" t="s">
        <v>18</v>
      </c>
      <c r="B21" s="11">
        <v>543</v>
      </c>
      <c r="C21" s="24">
        <v>171</v>
      </c>
      <c r="D21" s="10">
        <f t="shared" si="0"/>
        <v>31.491712707182316</v>
      </c>
      <c r="E21" s="11">
        <v>543</v>
      </c>
      <c r="F21" s="24">
        <v>148</v>
      </c>
      <c r="G21" s="12">
        <f t="shared" si="1"/>
        <v>27.255985267034994</v>
      </c>
      <c r="H21" s="9">
        <v>634</v>
      </c>
      <c r="I21" s="24">
        <v>198</v>
      </c>
      <c r="J21" s="10">
        <f t="shared" si="2"/>
        <v>31.230283911671926</v>
      </c>
    </row>
    <row r="22" spans="1:10" ht="16.5" x14ac:dyDescent="0.45">
      <c r="A22" s="22" t="s">
        <v>5</v>
      </c>
      <c r="B22" s="11">
        <v>1425</v>
      </c>
      <c r="C22" s="24">
        <v>321</v>
      </c>
      <c r="D22" s="10">
        <f t="shared" si="0"/>
        <v>22.526315789473685</v>
      </c>
      <c r="E22" s="11">
        <v>1425</v>
      </c>
      <c r="F22" s="24">
        <v>225</v>
      </c>
      <c r="G22" s="12">
        <f t="shared" si="1"/>
        <v>15.789473684210526</v>
      </c>
      <c r="H22" s="9">
        <v>1082</v>
      </c>
      <c r="I22" s="24">
        <v>215</v>
      </c>
      <c r="J22" s="10">
        <f t="shared" si="2"/>
        <v>19.87060998151571</v>
      </c>
    </row>
    <row r="23" spans="1:10" ht="16.5" x14ac:dyDescent="0.45">
      <c r="A23" s="22" t="s">
        <v>19</v>
      </c>
      <c r="B23" s="11">
        <v>284</v>
      </c>
      <c r="C23" s="24">
        <v>91</v>
      </c>
      <c r="D23" s="10">
        <f t="shared" si="0"/>
        <v>32.04225352112676</v>
      </c>
      <c r="E23" s="11">
        <v>284</v>
      </c>
      <c r="F23" s="24">
        <v>76</v>
      </c>
      <c r="G23" s="12">
        <f t="shared" si="1"/>
        <v>26.760563380281688</v>
      </c>
      <c r="H23" s="9">
        <v>376</v>
      </c>
      <c r="I23" s="24">
        <v>148</v>
      </c>
      <c r="J23" s="10">
        <f t="shared" si="2"/>
        <v>39.361702127659576</v>
      </c>
    </row>
    <row r="24" spans="1:10" ht="29" x14ac:dyDescent="0.45">
      <c r="A24" s="22" t="s">
        <v>6</v>
      </c>
      <c r="B24" s="11">
        <v>488</v>
      </c>
      <c r="C24" s="24">
        <v>91</v>
      </c>
      <c r="D24" s="10">
        <f t="shared" si="0"/>
        <v>18.647540983606557</v>
      </c>
      <c r="E24" s="11">
        <v>488</v>
      </c>
      <c r="F24" s="24">
        <v>95</v>
      </c>
      <c r="G24" s="12">
        <f t="shared" si="1"/>
        <v>19.467213114754099</v>
      </c>
      <c r="H24" s="9">
        <v>514</v>
      </c>
      <c r="I24" s="24">
        <v>140</v>
      </c>
      <c r="J24" s="10">
        <f t="shared" si="2"/>
        <v>27.237354085603112</v>
      </c>
    </row>
    <row r="25" spans="1:10" ht="16.5" x14ac:dyDescent="0.45">
      <c r="A25" s="22" t="s">
        <v>29</v>
      </c>
      <c r="B25" s="11">
        <v>443</v>
      </c>
      <c r="C25" s="24">
        <v>283</v>
      </c>
      <c r="D25" s="10">
        <f t="shared" si="0"/>
        <v>63.882618510158018</v>
      </c>
      <c r="E25" s="11">
        <v>443</v>
      </c>
      <c r="F25" s="24">
        <v>294</v>
      </c>
      <c r="G25" s="12">
        <f t="shared" si="1"/>
        <v>66.365688487584649</v>
      </c>
      <c r="H25" s="9">
        <v>425</v>
      </c>
      <c r="I25" s="24">
        <v>239</v>
      </c>
      <c r="J25" s="10">
        <f t="shared" si="2"/>
        <v>56.235294117647058</v>
      </c>
    </row>
    <row r="26" spans="1:10" ht="16.5" x14ac:dyDescent="0.45">
      <c r="A26" s="22" t="s">
        <v>38</v>
      </c>
      <c r="B26" s="11">
        <v>130</v>
      </c>
      <c r="C26" s="24">
        <v>31</v>
      </c>
      <c r="D26" s="10">
        <f t="shared" si="0"/>
        <v>23.846153846153847</v>
      </c>
      <c r="E26" s="11">
        <v>130</v>
      </c>
      <c r="F26" s="24">
        <v>23</v>
      </c>
      <c r="G26" s="12">
        <f t="shared" si="1"/>
        <v>17.692307692307693</v>
      </c>
      <c r="H26" s="9">
        <v>123</v>
      </c>
      <c r="I26" s="24">
        <v>53</v>
      </c>
      <c r="J26" s="10">
        <f t="shared" si="2"/>
        <v>43.089430894308947</v>
      </c>
    </row>
    <row r="27" spans="1:10" ht="16.5" x14ac:dyDescent="0.45">
      <c r="A27" s="22" t="s">
        <v>30</v>
      </c>
      <c r="B27" s="11">
        <v>99</v>
      </c>
      <c r="C27" s="24">
        <v>28</v>
      </c>
      <c r="D27" s="10">
        <f t="shared" si="0"/>
        <v>28.28282828282828</v>
      </c>
      <c r="E27" s="11">
        <v>99</v>
      </c>
      <c r="F27" s="24">
        <v>25</v>
      </c>
      <c r="G27" s="12">
        <f t="shared" si="1"/>
        <v>25.252525252525253</v>
      </c>
      <c r="H27" s="9">
        <v>95</v>
      </c>
      <c r="I27" s="24">
        <v>21</v>
      </c>
      <c r="J27" s="10">
        <f t="shared" si="2"/>
        <v>22.105263157894736</v>
      </c>
    </row>
    <row r="28" spans="1:10" ht="29" x14ac:dyDescent="0.45">
      <c r="A28" s="22" t="s">
        <v>7</v>
      </c>
      <c r="B28" s="11">
        <v>224</v>
      </c>
      <c r="C28" s="24">
        <v>45</v>
      </c>
      <c r="D28" s="10">
        <f t="shared" si="0"/>
        <v>20.089285714285715</v>
      </c>
      <c r="E28" s="11">
        <v>224</v>
      </c>
      <c r="F28" s="24">
        <v>81</v>
      </c>
      <c r="G28" s="12">
        <f t="shared" si="1"/>
        <v>36.160714285714285</v>
      </c>
      <c r="H28" s="9">
        <v>243</v>
      </c>
      <c r="I28" s="24">
        <v>165</v>
      </c>
      <c r="J28" s="10">
        <f t="shared" si="2"/>
        <v>67.901234567901241</v>
      </c>
    </row>
    <row r="29" spans="1:10" ht="29" x14ac:dyDescent="0.45">
      <c r="A29" s="22" t="s">
        <v>20</v>
      </c>
      <c r="B29" s="11">
        <v>220</v>
      </c>
      <c r="C29" s="24">
        <v>46</v>
      </c>
      <c r="D29" s="10">
        <f t="shared" si="0"/>
        <v>20.909090909090907</v>
      </c>
      <c r="E29" s="11">
        <v>220</v>
      </c>
      <c r="F29" s="24">
        <v>73</v>
      </c>
      <c r="G29" s="12">
        <f t="shared" si="1"/>
        <v>33.181818181818187</v>
      </c>
      <c r="H29" s="9">
        <v>212</v>
      </c>
      <c r="I29" s="24">
        <v>144</v>
      </c>
      <c r="J29" s="10">
        <f t="shared" si="2"/>
        <v>67.924528301886795</v>
      </c>
    </row>
    <row r="30" spans="1:10" ht="16.5" x14ac:dyDescent="0.45">
      <c r="A30" s="22" t="s">
        <v>8</v>
      </c>
      <c r="B30" s="11">
        <v>135</v>
      </c>
      <c r="C30" s="24">
        <v>63</v>
      </c>
      <c r="D30" s="10">
        <f t="shared" si="0"/>
        <v>46.666666666666664</v>
      </c>
      <c r="E30" s="11">
        <v>135</v>
      </c>
      <c r="F30" s="24">
        <v>43</v>
      </c>
      <c r="G30" s="12">
        <f t="shared" si="1"/>
        <v>31.851851851851855</v>
      </c>
      <c r="H30" s="9">
        <v>190</v>
      </c>
      <c r="I30" s="24">
        <v>71</v>
      </c>
      <c r="J30" s="10">
        <f t="shared" si="2"/>
        <v>37.368421052631575</v>
      </c>
    </row>
    <row r="31" spans="1:10" ht="29" x14ac:dyDescent="0.45">
      <c r="A31" s="22" t="s">
        <v>9</v>
      </c>
      <c r="B31" s="11">
        <v>1283</v>
      </c>
      <c r="C31" s="24">
        <v>244</v>
      </c>
      <c r="D31" s="10">
        <f t="shared" si="0"/>
        <v>19.01792673421668</v>
      </c>
      <c r="E31" s="11">
        <v>1283</v>
      </c>
      <c r="F31" s="24">
        <v>188</v>
      </c>
      <c r="G31" s="12">
        <f t="shared" si="1"/>
        <v>14.65315666406859</v>
      </c>
      <c r="H31" s="9">
        <v>1399</v>
      </c>
      <c r="I31" s="24">
        <v>250</v>
      </c>
      <c r="J31" s="10">
        <f t="shared" si="2"/>
        <v>17.869907076483202</v>
      </c>
    </row>
    <row r="32" spans="1:10" ht="16.5" x14ac:dyDescent="0.45">
      <c r="A32" s="22" t="s">
        <v>39</v>
      </c>
      <c r="B32" s="11">
        <v>259</v>
      </c>
      <c r="C32" s="24">
        <v>67</v>
      </c>
      <c r="D32" s="10">
        <f t="shared" si="0"/>
        <v>25.868725868725868</v>
      </c>
      <c r="E32" s="11">
        <v>259</v>
      </c>
      <c r="F32" s="24">
        <v>82</v>
      </c>
      <c r="G32" s="12">
        <f t="shared" si="1"/>
        <v>31.660231660231659</v>
      </c>
      <c r="H32" s="9">
        <v>208</v>
      </c>
      <c r="I32" s="24">
        <v>63</v>
      </c>
      <c r="J32" s="10">
        <f t="shared" si="2"/>
        <v>30.288461538461537</v>
      </c>
    </row>
    <row r="33" spans="1:10" ht="29" x14ac:dyDescent="0.45">
      <c r="A33" s="22" t="s">
        <v>40</v>
      </c>
      <c r="B33" s="11">
        <v>36</v>
      </c>
      <c r="C33" s="24">
        <v>5</v>
      </c>
      <c r="D33" s="10">
        <f t="shared" si="0"/>
        <v>13.888888888888889</v>
      </c>
      <c r="E33" s="11">
        <v>36</v>
      </c>
      <c r="F33" s="24">
        <v>4</v>
      </c>
      <c r="G33" s="12">
        <f t="shared" si="1"/>
        <v>11.111111111111111</v>
      </c>
      <c r="H33" s="9">
        <v>36</v>
      </c>
      <c r="I33" s="24">
        <v>13</v>
      </c>
      <c r="J33" s="10">
        <f t="shared" si="2"/>
        <v>36.111111111111107</v>
      </c>
    </row>
    <row r="34" spans="1:10" ht="16.5" x14ac:dyDescent="0.45">
      <c r="A34" s="22" t="s">
        <v>10</v>
      </c>
      <c r="B34" s="11">
        <v>581</v>
      </c>
      <c r="C34" s="24">
        <v>102</v>
      </c>
      <c r="D34" s="10">
        <f t="shared" si="0"/>
        <v>17.555938037865747</v>
      </c>
      <c r="E34" s="11">
        <v>581</v>
      </c>
      <c r="F34" s="24">
        <v>115</v>
      </c>
      <c r="G34" s="12">
        <f t="shared" si="1"/>
        <v>19.793459552495698</v>
      </c>
      <c r="H34" s="9">
        <v>608</v>
      </c>
      <c r="I34" s="24">
        <v>120</v>
      </c>
      <c r="J34" s="10">
        <f t="shared" si="2"/>
        <v>19.736842105263158</v>
      </c>
    </row>
    <row r="35" spans="1:10" ht="29" x14ac:dyDescent="0.45">
      <c r="A35" s="22" t="s">
        <v>41</v>
      </c>
      <c r="B35" s="11">
        <v>129</v>
      </c>
      <c r="C35" s="24">
        <v>43</v>
      </c>
      <c r="D35" s="10">
        <f t="shared" si="0"/>
        <v>33.333333333333329</v>
      </c>
      <c r="E35" s="11">
        <v>129</v>
      </c>
      <c r="F35" s="24">
        <v>69</v>
      </c>
      <c r="G35" s="12">
        <f t="shared" si="1"/>
        <v>53.488372093023251</v>
      </c>
      <c r="H35" s="9">
        <v>153</v>
      </c>
      <c r="I35" s="24">
        <v>70</v>
      </c>
      <c r="J35" s="10">
        <f t="shared" si="2"/>
        <v>45.751633986928105</v>
      </c>
    </row>
    <row r="36" spans="1:10" ht="29" x14ac:dyDescent="0.45">
      <c r="A36" s="22" t="s">
        <v>21</v>
      </c>
      <c r="B36" s="11">
        <v>228</v>
      </c>
      <c r="C36" s="24">
        <v>39</v>
      </c>
      <c r="D36" s="10">
        <f t="shared" si="0"/>
        <v>17.105263157894736</v>
      </c>
      <c r="E36" s="11">
        <v>228</v>
      </c>
      <c r="F36" s="24">
        <v>33</v>
      </c>
      <c r="G36" s="12">
        <f t="shared" si="1"/>
        <v>14.473684210526317</v>
      </c>
      <c r="H36" s="9">
        <v>219</v>
      </c>
      <c r="I36" s="24">
        <v>51</v>
      </c>
      <c r="J36" s="10">
        <f t="shared" si="2"/>
        <v>23.287671232876711</v>
      </c>
    </row>
    <row r="37" spans="1:10" ht="29" x14ac:dyDescent="0.45">
      <c r="A37" s="22" t="s">
        <v>22</v>
      </c>
      <c r="B37" s="11">
        <v>33</v>
      </c>
      <c r="C37" s="24">
        <v>24</v>
      </c>
      <c r="D37" s="10">
        <f t="shared" si="0"/>
        <v>72.727272727272734</v>
      </c>
      <c r="E37" s="11">
        <v>33</v>
      </c>
      <c r="F37" s="24">
        <v>11</v>
      </c>
      <c r="G37" s="12">
        <f t="shared" si="1"/>
        <v>33.333333333333329</v>
      </c>
      <c r="H37" s="9">
        <v>38</v>
      </c>
      <c r="I37" s="24">
        <v>11</v>
      </c>
      <c r="J37" s="10">
        <f t="shared" si="2"/>
        <v>28.947368421052634</v>
      </c>
    </row>
    <row r="38" spans="1:10" ht="29" x14ac:dyDescent="0.45">
      <c r="A38" s="22" t="s">
        <v>23</v>
      </c>
      <c r="B38" s="11">
        <v>38</v>
      </c>
      <c r="C38" s="24">
        <v>10</v>
      </c>
      <c r="D38" s="10">
        <f t="shared" si="0"/>
        <v>26.315789473684209</v>
      </c>
      <c r="E38" s="11">
        <v>38</v>
      </c>
      <c r="F38" s="24">
        <v>5</v>
      </c>
      <c r="G38" s="12">
        <f t="shared" si="1"/>
        <v>13.157894736842104</v>
      </c>
      <c r="H38" s="9">
        <v>41</v>
      </c>
      <c r="I38" s="24">
        <v>9</v>
      </c>
      <c r="J38" s="10">
        <f t="shared" si="2"/>
        <v>21.951219512195124</v>
      </c>
    </row>
    <row r="39" spans="1:10" ht="16.5" x14ac:dyDescent="0.45">
      <c r="A39" s="22" t="s">
        <v>24</v>
      </c>
      <c r="B39" s="11">
        <v>130</v>
      </c>
      <c r="C39" s="24">
        <v>15</v>
      </c>
      <c r="D39" s="10">
        <f t="shared" si="0"/>
        <v>11.538461538461538</v>
      </c>
      <c r="E39" s="11">
        <v>130</v>
      </c>
      <c r="F39" s="24">
        <v>41</v>
      </c>
      <c r="G39" s="12">
        <f t="shared" si="1"/>
        <v>31.538461538461537</v>
      </c>
      <c r="H39" s="9">
        <v>140</v>
      </c>
      <c r="I39" s="24">
        <v>43</v>
      </c>
      <c r="J39" s="10">
        <f t="shared" si="2"/>
        <v>30.714285714285715</v>
      </c>
    </row>
    <row r="40" spans="1:10" ht="43.5" x14ac:dyDescent="0.45">
      <c r="A40" s="22" t="s">
        <v>31</v>
      </c>
      <c r="B40" s="11">
        <v>1467</v>
      </c>
      <c r="C40" s="24">
        <v>302</v>
      </c>
      <c r="D40" s="10">
        <f t="shared" si="0"/>
        <v>20.586230402181322</v>
      </c>
      <c r="E40" s="11">
        <v>1467</v>
      </c>
      <c r="F40" s="24">
        <v>347</v>
      </c>
      <c r="G40" s="12">
        <f t="shared" si="1"/>
        <v>23.653715064758011</v>
      </c>
      <c r="H40" s="9">
        <v>1144</v>
      </c>
      <c r="I40" s="24">
        <v>248</v>
      </c>
      <c r="J40" s="10">
        <f t="shared" si="2"/>
        <v>21.678321678321677</v>
      </c>
    </row>
    <row r="41" spans="1:10" ht="16.5" x14ac:dyDescent="0.45">
      <c r="A41" s="22" t="s">
        <v>11</v>
      </c>
      <c r="B41" s="11">
        <v>166</v>
      </c>
      <c r="C41" s="24">
        <v>31</v>
      </c>
      <c r="D41" s="10">
        <f t="shared" si="0"/>
        <v>18.674698795180721</v>
      </c>
      <c r="E41" s="11">
        <v>166</v>
      </c>
      <c r="F41" s="24">
        <v>42</v>
      </c>
      <c r="G41" s="12">
        <f t="shared" si="1"/>
        <v>25.301204819277107</v>
      </c>
      <c r="H41" s="9">
        <v>177</v>
      </c>
      <c r="I41" s="24">
        <v>65</v>
      </c>
      <c r="J41" s="10">
        <f t="shared" si="2"/>
        <v>36.72316384180791</v>
      </c>
    </row>
    <row r="42" spans="1:10" ht="16.5" x14ac:dyDescent="0.45">
      <c r="A42" s="22" t="s">
        <v>12</v>
      </c>
      <c r="B42" s="11">
        <v>952</v>
      </c>
      <c r="C42" s="24">
        <v>103</v>
      </c>
      <c r="D42" s="10">
        <f t="shared" si="0"/>
        <v>10.819327731092438</v>
      </c>
      <c r="E42" s="11">
        <v>952</v>
      </c>
      <c r="F42" s="24">
        <v>107</v>
      </c>
      <c r="G42" s="12">
        <f t="shared" si="1"/>
        <v>11.239495798319329</v>
      </c>
      <c r="H42" s="9">
        <v>851</v>
      </c>
      <c r="I42" s="24">
        <v>178</v>
      </c>
      <c r="J42" s="10">
        <f t="shared" si="2"/>
        <v>20.916568742655699</v>
      </c>
    </row>
    <row r="43" spans="1:10" ht="29" x14ac:dyDescent="0.45">
      <c r="A43" s="22" t="s">
        <v>32</v>
      </c>
      <c r="B43" s="11">
        <v>30</v>
      </c>
      <c r="C43" s="24">
        <v>43</v>
      </c>
      <c r="D43" s="10">
        <f t="shared" si="0"/>
        <v>143.33333333333334</v>
      </c>
      <c r="E43" s="11">
        <v>30</v>
      </c>
      <c r="F43" s="24">
        <v>38</v>
      </c>
      <c r="G43" s="12">
        <f t="shared" si="1"/>
        <v>126.66666666666666</v>
      </c>
      <c r="H43" s="9">
        <v>50</v>
      </c>
      <c r="I43" s="24">
        <v>50</v>
      </c>
      <c r="J43" s="10">
        <f t="shared" si="2"/>
        <v>100</v>
      </c>
    </row>
    <row r="44" spans="1:10" ht="16.5" x14ac:dyDescent="0.45">
      <c r="A44" s="22" t="s">
        <v>25</v>
      </c>
      <c r="B44" s="11">
        <v>278</v>
      </c>
      <c r="C44" s="24">
        <v>125</v>
      </c>
      <c r="D44" s="10">
        <f t="shared" si="0"/>
        <v>44.964028776978417</v>
      </c>
      <c r="E44" s="11">
        <v>278</v>
      </c>
      <c r="F44" s="24">
        <v>141</v>
      </c>
      <c r="G44" s="12">
        <f t="shared" si="1"/>
        <v>50.719424460431654</v>
      </c>
      <c r="H44" s="9">
        <v>348</v>
      </c>
      <c r="I44" s="24">
        <v>197</v>
      </c>
      <c r="J44" s="10">
        <f t="shared" si="2"/>
        <v>56.609195402298852</v>
      </c>
    </row>
    <row r="45" spans="1:10" ht="16.5" x14ac:dyDescent="0.45">
      <c r="A45" s="22" t="s">
        <v>33</v>
      </c>
      <c r="B45" s="11">
        <v>112</v>
      </c>
      <c r="C45" s="24">
        <v>38</v>
      </c>
      <c r="D45" s="10">
        <f t="shared" si="0"/>
        <v>33.928571428571431</v>
      </c>
      <c r="E45" s="11">
        <v>112</v>
      </c>
      <c r="F45" s="24">
        <v>28</v>
      </c>
      <c r="G45" s="12">
        <f t="shared" si="1"/>
        <v>25</v>
      </c>
      <c r="H45" s="9">
        <v>133</v>
      </c>
      <c r="I45" s="24">
        <v>61</v>
      </c>
      <c r="J45" s="10">
        <f t="shared" si="2"/>
        <v>45.864661654135332</v>
      </c>
    </row>
    <row r="46" spans="1:10" ht="29" x14ac:dyDescent="0.45">
      <c r="A46" s="22" t="s">
        <v>13</v>
      </c>
      <c r="B46" s="11">
        <v>403</v>
      </c>
      <c r="C46" s="24">
        <v>196</v>
      </c>
      <c r="D46" s="10">
        <f t="shared" si="0"/>
        <v>48.635235732009924</v>
      </c>
      <c r="E46" s="11">
        <v>403</v>
      </c>
      <c r="F46" s="24">
        <v>132</v>
      </c>
      <c r="G46" s="12">
        <f t="shared" si="1"/>
        <v>32.754342431761785</v>
      </c>
      <c r="H46" s="9">
        <v>254</v>
      </c>
      <c r="I46" s="24">
        <v>261</v>
      </c>
      <c r="J46" s="10">
        <f t="shared" si="2"/>
        <v>102.75590551181102</v>
      </c>
    </row>
  </sheetData>
  <mergeCells count="8">
    <mergeCell ref="A1:J1"/>
    <mergeCell ref="A2:J3"/>
    <mergeCell ref="A4:J4"/>
    <mergeCell ref="A5:J5"/>
    <mergeCell ref="A6:A7"/>
    <mergeCell ref="B6:D6"/>
    <mergeCell ref="E6:G6"/>
    <mergeCell ref="H6:J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3F5D-CC22-4BE1-904B-1A74CA68B863}">
  <dimension ref="A1:J45"/>
  <sheetViews>
    <sheetView topLeftCell="A36" workbookViewId="0">
      <selection activeCell="I53" sqref="I53"/>
    </sheetView>
  </sheetViews>
  <sheetFormatPr baseColWidth="10" defaultRowHeight="14.5" x14ac:dyDescent="0.35"/>
  <sheetData>
    <row r="1" spans="1:10" ht="15" customHeight="1" x14ac:dyDescent="0.35">
      <c r="A1" s="37" t="s">
        <v>58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8.5" x14ac:dyDescent="0.3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3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44" t="s">
        <v>2</v>
      </c>
      <c r="B5" s="46" t="s">
        <v>55</v>
      </c>
      <c r="C5" s="47"/>
      <c r="D5" s="48"/>
      <c r="E5" s="46" t="s">
        <v>56</v>
      </c>
      <c r="F5" s="47"/>
      <c r="G5" s="48"/>
      <c r="H5" s="46" t="s">
        <v>57</v>
      </c>
      <c r="I5" s="47"/>
      <c r="J5" s="48"/>
    </row>
    <row r="6" spans="1:10" ht="43.5" x14ac:dyDescent="0.35">
      <c r="A6" s="45"/>
      <c r="B6" s="5" t="s">
        <v>42</v>
      </c>
      <c r="C6" s="23" t="s">
        <v>45</v>
      </c>
      <c r="D6" s="28" t="s">
        <v>44</v>
      </c>
      <c r="E6" s="5" t="s">
        <v>42</v>
      </c>
      <c r="F6" s="23" t="s">
        <v>46</v>
      </c>
      <c r="G6" s="28" t="s">
        <v>44</v>
      </c>
      <c r="H6" s="5" t="s">
        <v>42</v>
      </c>
      <c r="I6" s="23" t="s">
        <v>43</v>
      </c>
      <c r="J6" s="5" t="s">
        <v>44</v>
      </c>
    </row>
    <row r="7" spans="1:10" ht="16.5" x14ac:dyDescent="0.45">
      <c r="A7" s="22" t="s">
        <v>26</v>
      </c>
      <c r="B7" s="11">
        <v>499</v>
      </c>
      <c r="C7" s="24">
        <v>153</v>
      </c>
      <c r="D7" s="10">
        <f t="shared" ref="D7:D45" si="0">SUM(C7/B7*100)</f>
        <v>30.661322645290578</v>
      </c>
      <c r="E7" s="11">
        <v>499</v>
      </c>
      <c r="F7" s="24">
        <v>109</v>
      </c>
      <c r="G7" s="12">
        <f t="shared" ref="G7:G45" si="1">SUM(F7/E7*100)</f>
        <v>21.8436873747495</v>
      </c>
      <c r="H7" s="9">
        <v>560</v>
      </c>
      <c r="I7" s="24">
        <v>168</v>
      </c>
      <c r="J7" s="10">
        <f t="shared" ref="J7:J45" si="2">SUM(I7/H7*100)</f>
        <v>30</v>
      </c>
    </row>
    <row r="8" spans="1:10" ht="16.5" x14ac:dyDescent="0.45">
      <c r="A8" s="22" t="s">
        <v>27</v>
      </c>
      <c r="B8" s="11">
        <v>54</v>
      </c>
      <c r="C8" s="24">
        <v>22</v>
      </c>
      <c r="D8" s="10">
        <f t="shared" si="0"/>
        <v>40.74074074074074</v>
      </c>
      <c r="E8" s="11">
        <v>54</v>
      </c>
      <c r="F8" s="24">
        <v>31</v>
      </c>
      <c r="G8" s="12">
        <f t="shared" si="1"/>
        <v>57.407407407407405</v>
      </c>
      <c r="H8" s="9">
        <v>51</v>
      </c>
      <c r="I8" s="24">
        <v>32</v>
      </c>
      <c r="J8" s="10">
        <f t="shared" si="2"/>
        <v>62.745098039215684</v>
      </c>
    </row>
    <row r="9" spans="1:10" ht="29" x14ac:dyDescent="0.45">
      <c r="A9" s="22" t="s">
        <v>34</v>
      </c>
      <c r="B9" s="11">
        <v>61</v>
      </c>
      <c r="C9" s="11">
        <v>20</v>
      </c>
      <c r="D9" s="10">
        <f t="shared" si="0"/>
        <v>32.786885245901637</v>
      </c>
      <c r="E9" s="11">
        <v>61</v>
      </c>
      <c r="F9" s="11">
        <v>23</v>
      </c>
      <c r="G9" s="12">
        <f t="shared" si="1"/>
        <v>37.704918032786885</v>
      </c>
      <c r="H9" s="11">
        <v>105</v>
      </c>
      <c r="I9" s="11">
        <v>31</v>
      </c>
      <c r="J9" s="10">
        <f t="shared" si="2"/>
        <v>29.523809523809526</v>
      </c>
    </row>
    <row r="10" spans="1:10" ht="16.5" x14ac:dyDescent="0.45">
      <c r="A10" s="22" t="s">
        <v>14</v>
      </c>
      <c r="B10" s="11">
        <v>643</v>
      </c>
      <c r="C10" s="24">
        <v>204</v>
      </c>
      <c r="D10" s="10">
        <f t="shared" si="0"/>
        <v>31.726283048211506</v>
      </c>
      <c r="E10" s="11">
        <v>643</v>
      </c>
      <c r="F10" s="24">
        <v>133</v>
      </c>
      <c r="G10" s="12">
        <f t="shared" si="1"/>
        <v>20.684292379471227</v>
      </c>
      <c r="H10" s="9">
        <v>843</v>
      </c>
      <c r="I10" s="24">
        <v>188</v>
      </c>
      <c r="J10" s="10">
        <f t="shared" si="2"/>
        <v>22.301304863582445</v>
      </c>
    </row>
    <row r="11" spans="1:10" ht="16.5" x14ac:dyDescent="0.45">
      <c r="A11" s="22" t="s">
        <v>3</v>
      </c>
      <c r="B11" s="11">
        <v>8431</v>
      </c>
      <c r="C11" s="25">
        <v>3546</v>
      </c>
      <c r="D11" s="10">
        <f t="shared" si="0"/>
        <v>42.059067726248365</v>
      </c>
      <c r="E11" s="11">
        <v>8431</v>
      </c>
      <c r="F11" s="27">
        <v>5301</v>
      </c>
      <c r="G11" s="12">
        <f t="shared" si="1"/>
        <v>62.875103783655561</v>
      </c>
      <c r="H11" s="8">
        <v>10719</v>
      </c>
      <c r="I11" s="27">
        <v>7700</v>
      </c>
      <c r="J11" s="10">
        <f t="shared" si="2"/>
        <v>71.835059240600813</v>
      </c>
    </row>
    <row r="12" spans="1:10" ht="16.5" x14ac:dyDescent="0.45">
      <c r="A12" s="22" t="s">
        <v>35</v>
      </c>
      <c r="B12" s="11">
        <v>117</v>
      </c>
      <c r="C12" s="24">
        <v>32</v>
      </c>
      <c r="D12" s="10">
        <f t="shared" si="0"/>
        <v>27.350427350427353</v>
      </c>
      <c r="E12" s="11">
        <v>117</v>
      </c>
      <c r="F12" s="24">
        <v>30</v>
      </c>
      <c r="G12" s="12">
        <f t="shared" si="1"/>
        <v>25.641025641025639</v>
      </c>
      <c r="H12" s="9">
        <v>64</v>
      </c>
      <c r="I12" s="24">
        <v>48</v>
      </c>
      <c r="J12" s="10">
        <f t="shared" si="2"/>
        <v>75</v>
      </c>
    </row>
    <row r="13" spans="1:10" ht="43.5" x14ac:dyDescent="0.45">
      <c r="A13" s="22" t="s">
        <v>15</v>
      </c>
      <c r="B13" s="11">
        <v>236</v>
      </c>
      <c r="C13" s="24">
        <v>63</v>
      </c>
      <c r="D13" s="10">
        <f t="shared" si="0"/>
        <v>26.694915254237291</v>
      </c>
      <c r="E13" s="11">
        <v>236</v>
      </c>
      <c r="F13" s="24">
        <v>68</v>
      </c>
      <c r="G13" s="12">
        <f t="shared" si="1"/>
        <v>28.8135593220339</v>
      </c>
      <c r="H13" s="9">
        <v>231</v>
      </c>
      <c r="I13" s="24">
        <v>85</v>
      </c>
      <c r="J13" s="10">
        <f t="shared" si="2"/>
        <v>36.796536796536792</v>
      </c>
    </row>
    <row r="14" spans="1:10" ht="29" x14ac:dyDescent="0.45">
      <c r="A14" s="22" t="s">
        <v>16</v>
      </c>
      <c r="B14" s="11">
        <v>5736</v>
      </c>
      <c r="C14" s="24">
        <v>1821</v>
      </c>
      <c r="D14" s="10">
        <f t="shared" si="0"/>
        <v>31.746861924686193</v>
      </c>
      <c r="E14" s="11">
        <v>5736</v>
      </c>
      <c r="F14" s="24">
        <v>1454</v>
      </c>
      <c r="G14" s="12">
        <f t="shared" si="1"/>
        <v>25.348675034867501</v>
      </c>
      <c r="H14" s="9">
        <v>6878</v>
      </c>
      <c r="I14" s="24">
        <v>1554</v>
      </c>
      <c r="J14" s="10">
        <f t="shared" si="2"/>
        <v>22.593777260831637</v>
      </c>
    </row>
    <row r="15" spans="1:10" ht="29" x14ac:dyDescent="0.45">
      <c r="A15" s="22" t="s">
        <v>4</v>
      </c>
      <c r="B15" s="11">
        <v>576</v>
      </c>
      <c r="C15" s="29">
        <v>204</v>
      </c>
      <c r="D15" s="10">
        <f t="shared" si="0"/>
        <v>35.416666666666671</v>
      </c>
      <c r="E15" s="11">
        <v>576</v>
      </c>
      <c r="F15" s="24">
        <v>186</v>
      </c>
      <c r="G15" s="12">
        <f t="shared" si="1"/>
        <v>32.291666666666671</v>
      </c>
      <c r="H15" s="9">
        <v>657</v>
      </c>
      <c r="I15" s="24">
        <v>248</v>
      </c>
      <c r="J15" s="10">
        <f t="shared" si="2"/>
        <v>37.74733637747336</v>
      </c>
    </row>
    <row r="16" spans="1:10" ht="16.5" x14ac:dyDescent="0.45">
      <c r="A16" s="22" t="s">
        <v>28</v>
      </c>
      <c r="B16" s="11">
        <v>137</v>
      </c>
      <c r="C16" s="24">
        <v>27</v>
      </c>
      <c r="D16" s="10">
        <f t="shared" si="0"/>
        <v>19.708029197080293</v>
      </c>
      <c r="E16" s="11">
        <v>137</v>
      </c>
      <c r="F16" s="24">
        <v>33</v>
      </c>
      <c r="G16" s="12">
        <f t="shared" si="1"/>
        <v>24.087591240875913</v>
      </c>
      <c r="H16" s="9">
        <v>184</v>
      </c>
      <c r="I16" s="24">
        <v>26</v>
      </c>
      <c r="J16" s="10">
        <f t="shared" si="2"/>
        <v>14.130434782608695</v>
      </c>
    </row>
    <row r="17" spans="1:10" ht="16.5" x14ac:dyDescent="0.45">
      <c r="A17" s="22" t="s">
        <v>36</v>
      </c>
      <c r="B17" s="11">
        <v>62</v>
      </c>
      <c r="C17" s="24">
        <v>8</v>
      </c>
      <c r="D17" s="10">
        <f t="shared" si="0"/>
        <v>12.903225806451612</v>
      </c>
      <c r="E17" s="11">
        <v>62</v>
      </c>
      <c r="F17" s="24">
        <v>16</v>
      </c>
      <c r="G17" s="12">
        <f t="shared" si="1"/>
        <v>25.806451612903224</v>
      </c>
      <c r="H17" s="9">
        <v>69</v>
      </c>
      <c r="I17" s="24">
        <v>31</v>
      </c>
      <c r="J17" s="10">
        <f t="shared" si="2"/>
        <v>44.927536231884055</v>
      </c>
    </row>
    <row r="18" spans="1:10" ht="16.5" x14ac:dyDescent="0.45">
      <c r="A18" s="22" t="s">
        <v>37</v>
      </c>
      <c r="B18" s="11">
        <v>62</v>
      </c>
      <c r="C18" s="24">
        <v>15</v>
      </c>
      <c r="D18" s="10">
        <f t="shared" si="0"/>
        <v>24.193548387096776</v>
      </c>
      <c r="E18" s="11">
        <v>62</v>
      </c>
      <c r="F18" s="24">
        <v>11</v>
      </c>
      <c r="G18" s="12">
        <f t="shared" si="1"/>
        <v>17.741935483870968</v>
      </c>
      <c r="H18" s="9">
        <v>75</v>
      </c>
      <c r="I18" s="24">
        <v>19</v>
      </c>
      <c r="J18" s="10">
        <f t="shared" si="2"/>
        <v>25.333333333333336</v>
      </c>
    </row>
    <row r="19" spans="1:10" ht="16.5" x14ac:dyDescent="0.45">
      <c r="A19" s="22" t="s">
        <v>17</v>
      </c>
      <c r="B19" s="11">
        <v>2230</v>
      </c>
      <c r="C19" s="24">
        <v>810</v>
      </c>
      <c r="D19" s="10">
        <f t="shared" si="0"/>
        <v>36.322869955156953</v>
      </c>
      <c r="E19" s="11">
        <v>2230</v>
      </c>
      <c r="F19" s="24">
        <v>1070</v>
      </c>
      <c r="G19" s="12">
        <f t="shared" si="1"/>
        <v>47.982062780269061</v>
      </c>
      <c r="H19" s="9">
        <v>2609</v>
      </c>
      <c r="I19" s="24">
        <v>938</v>
      </c>
      <c r="J19" s="10">
        <f t="shared" si="2"/>
        <v>35.952472211575312</v>
      </c>
    </row>
    <row r="20" spans="1:10" ht="16.5" x14ac:dyDescent="0.45">
      <c r="A20" s="22" t="s">
        <v>18</v>
      </c>
      <c r="B20" s="11">
        <v>543</v>
      </c>
      <c r="C20" s="24">
        <v>181</v>
      </c>
      <c r="D20" s="10">
        <f t="shared" si="0"/>
        <v>33.333333333333329</v>
      </c>
      <c r="E20" s="11">
        <v>543</v>
      </c>
      <c r="F20" s="24">
        <v>156</v>
      </c>
      <c r="G20" s="12">
        <f t="shared" si="1"/>
        <v>28.729281767955801</v>
      </c>
      <c r="H20" s="9">
        <v>634</v>
      </c>
      <c r="I20" s="24">
        <v>202</v>
      </c>
      <c r="J20" s="10">
        <f t="shared" si="2"/>
        <v>31.861198738170348</v>
      </c>
    </row>
    <row r="21" spans="1:10" ht="16.5" x14ac:dyDescent="0.45">
      <c r="A21" s="22" t="s">
        <v>5</v>
      </c>
      <c r="B21" s="11">
        <v>1425</v>
      </c>
      <c r="C21" s="24">
        <v>416</v>
      </c>
      <c r="D21" s="10">
        <f t="shared" si="0"/>
        <v>29.192982456140349</v>
      </c>
      <c r="E21" s="11">
        <v>1425</v>
      </c>
      <c r="F21" s="24">
        <v>267</v>
      </c>
      <c r="G21" s="12">
        <f t="shared" si="1"/>
        <v>18.736842105263158</v>
      </c>
      <c r="H21" s="9">
        <v>1082</v>
      </c>
      <c r="I21" s="24">
        <v>292</v>
      </c>
      <c r="J21" s="10">
        <f t="shared" si="2"/>
        <v>26.98706099815157</v>
      </c>
    </row>
    <row r="22" spans="1:10" ht="16.5" x14ac:dyDescent="0.45">
      <c r="A22" s="22" t="s">
        <v>19</v>
      </c>
      <c r="B22" s="11">
        <v>284</v>
      </c>
      <c r="C22" s="24">
        <v>97</v>
      </c>
      <c r="D22" s="10">
        <f t="shared" si="0"/>
        <v>34.154929577464785</v>
      </c>
      <c r="E22" s="11">
        <v>284</v>
      </c>
      <c r="F22" s="24">
        <v>84</v>
      </c>
      <c r="G22" s="12">
        <f t="shared" si="1"/>
        <v>29.577464788732392</v>
      </c>
      <c r="H22" s="9">
        <v>376</v>
      </c>
      <c r="I22" s="24">
        <v>154</v>
      </c>
      <c r="J22" s="10">
        <f t="shared" si="2"/>
        <v>40.957446808510639</v>
      </c>
    </row>
    <row r="23" spans="1:10" ht="29" x14ac:dyDescent="0.45">
      <c r="A23" s="22" t="s">
        <v>6</v>
      </c>
      <c r="B23" s="11">
        <v>488</v>
      </c>
      <c r="C23" s="24">
        <v>91</v>
      </c>
      <c r="D23" s="10">
        <f t="shared" si="0"/>
        <v>18.647540983606557</v>
      </c>
      <c r="E23" s="11">
        <v>488</v>
      </c>
      <c r="F23" s="24">
        <v>96</v>
      </c>
      <c r="G23" s="12">
        <f t="shared" si="1"/>
        <v>19.672131147540984</v>
      </c>
      <c r="H23" s="9">
        <v>514</v>
      </c>
      <c r="I23" s="24">
        <v>140</v>
      </c>
      <c r="J23" s="10">
        <f t="shared" si="2"/>
        <v>27.237354085603112</v>
      </c>
    </row>
    <row r="24" spans="1:10" ht="16.5" x14ac:dyDescent="0.45">
      <c r="A24" s="22" t="s">
        <v>29</v>
      </c>
      <c r="B24" s="11">
        <v>443</v>
      </c>
      <c r="C24" s="24">
        <v>298</v>
      </c>
      <c r="D24" s="10">
        <f t="shared" si="0"/>
        <v>67.268623024830703</v>
      </c>
      <c r="E24" s="11">
        <v>443</v>
      </c>
      <c r="F24" s="24">
        <v>310</v>
      </c>
      <c r="G24" s="12">
        <f t="shared" si="1"/>
        <v>69.97742663656885</v>
      </c>
      <c r="H24" s="9">
        <v>425</v>
      </c>
      <c r="I24" s="24">
        <v>241</v>
      </c>
      <c r="J24" s="10">
        <f t="shared" si="2"/>
        <v>56.705882352941174</v>
      </c>
    </row>
    <row r="25" spans="1:10" ht="16.5" x14ac:dyDescent="0.45">
      <c r="A25" s="22" t="s">
        <v>38</v>
      </c>
      <c r="B25" s="11">
        <v>130</v>
      </c>
      <c r="C25" s="24">
        <v>31</v>
      </c>
      <c r="D25" s="10">
        <f t="shared" si="0"/>
        <v>23.846153846153847</v>
      </c>
      <c r="E25" s="11">
        <v>130</v>
      </c>
      <c r="F25" s="24">
        <v>24</v>
      </c>
      <c r="G25" s="12">
        <f t="shared" si="1"/>
        <v>18.461538461538463</v>
      </c>
      <c r="H25" s="9">
        <v>123</v>
      </c>
      <c r="I25" s="24">
        <v>54</v>
      </c>
      <c r="J25" s="10">
        <f t="shared" si="2"/>
        <v>43.902439024390247</v>
      </c>
    </row>
    <row r="26" spans="1:10" ht="16.5" x14ac:dyDescent="0.45">
      <c r="A26" s="22" t="s">
        <v>30</v>
      </c>
      <c r="B26" s="11">
        <v>99</v>
      </c>
      <c r="C26" s="24">
        <v>28</v>
      </c>
      <c r="D26" s="10">
        <f t="shared" si="0"/>
        <v>28.28282828282828</v>
      </c>
      <c r="E26" s="11">
        <v>99</v>
      </c>
      <c r="F26" s="24">
        <v>25</v>
      </c>
      <c r="G26" s="12">
        <f t="shared" si="1"/>
        <v>25.252525252525253</v>
      </c>
      <c r="H26" s="9">
        <v>95</v>
      </c>
      <c r="I26" s="24">
        <v>21</v>
      </c>
      <c r="J26" s="10">
        <f t="shared" si="2"/>
        <v>22.105263157894736</v>
      </c>
    </row>
    <row r="27" spans="1:10" ht="29" x14ac:dyDescent="0.45">
      <c r="A27" s="22" t="s">
        <v>7</v>
      </c>
      <c r="B27" s="11">
        <v>224</v>
      </c>
      <c r="C27" s="24">
        <v>53</v>
      </c>
      <c r="D27" s="10">
        <f t="shared" si="0"/>
        <v>23.660714285714285</v>
      </c>
      <c r="E27" s="11">
        <v>224</v>
      </c>
      <c r="F27" s="24">
        <v>95</v>
      </c>
      <c r="G27" s="12">
        <f t="shared" si="1"/>
        <v>42.410714285714285</v>
      </c>
      <c r="H27" s="9">
        <v>243</v>
      </c>
      <c r="I27" s="24">
        <v>177</v>
      </c>
      <c r="J27" s="10">
        <f t="shared" si="2"/>
        <v>72.839506172839506</v>
      </c>
    </row>
    <row r="28" spans="1:10" ht="29" x14ac:dyDescent="0.45">
      <c r="A28" s="22" t="s">
        <v>20</v>
      </c>
      <c r="B28" s="11">
        <v>220</v>
      </c>
      <c r="C28" s="24">
        <v>46</v>
      </c>
      <c r="D28" s="10">
        <f t="shared" si="0"/>
        <v>20.909090909090907</v>
      </c>
      <c r="E28" s="11">
        <v>220</v>
      </c>
      <c r="F28" s="24">
        <v>73</v>
      </c>
      <c r="G28" s="12">
        <f t="shared" si="1"/>
        <v>33.181818181818187</v>
      </c>
      <c r="H28" s="9">
        <v>212</v>
      </c>
      <c r="I28" s="24">
        <v>144</v>
      </c>
      <c r="J28" s="10">
        <f t="shared" si="2"/>
        <v>67.924528301886795</v>
      </c>
    </row>
    <row r="29" spans="1:10" ht="16.5" x14ac:dyDescent="0.45">
      <c r="A29" s="22" t="s">
        <v>8</v>
      </c>
      <c r="B29" s="11">
        <v>135</v>
      </c>
      <c r="C29" s="24">
        <v>66</v>
      </c>
      <c r="D29" s="10">
        <f t="shared" si="0"/>
        <v>48.888888888888886</v>
      </c>
      <c r="E29" s="11">
        <v>135</v>
      </c>
      <c r="F29" s="24">
        <v>45</v>
      </c>
      <c r="G29" s="12">
        <f t="shared" si="1"/>
        <v>33.333333333333329</v>
      </c>
      <c r="H29" s="9">
        <v>190</v>
      </c>
      <c r="I29" s="24">
        <v>76</v>
      </c>
      <c r="J29" s="10">
        <f t="shared" si="2"/>
        <v>40</v>
      </c>
    </row>
    <row r="30" spans="1:10" ht="29" x14ac:dyDescent="0.45">
      <c r="A30" s="22" t="s">
        <v>9</v>
      </c>
      <c r="B30" s="11">
        <v>1283</v>
      </c>
      <c r="C30" s="24">
        <v>256</v>
      </c>
      <c r="D30" s="10">
        <f t="shared" si="0"/>
        <v>19.95323460639127</v>
      </c>
      <c r="E30" s="11">
        <v>1283</v>
      </c>
      <c r="F30" s="24">
        <v>213</v>
      </c>
      <c r="G30" s="12">
        <f t="shared" si="1"/>
        <v>16.601714731098987</v>
      </c>
      <c r="H30" s="9">
        <v>1399</v>
      </c>
      <c r="I30" s="24">
        <v>281</v>
      </c>
      <c r="J30" s="10">
        <f t="shared" si="2"/>
        <v>20.085775553967121</v>
      </c>
    </row>
    <row r="31" spans="1:10" ht="16.5" x14ac:dyDescent="0.45">
      <c r="A31" s="22" t="s">
        <v>39</v>
      </c>
      <c r="B31" s="11">
        <v>259</v>
      </c>
      <c r="C31" s="24">
        <v>67</v>
      </c>
      <c r="D31" s="10">
        <f t="shared" si="0"/>
        <v>25.868725868725868</v>
      </c>
      <c r="E31" s="11">
        <v>259</v>
      </c>
      <c r="F31" s="24">
        <v>82</v>
      </c>
      <c r="G31" s="12">
        <f t="shared" si="1"/>
        <v>31.660231660231659</v>
      </c>
      <c r="H31" s="9">
        <v>208</v>
      </c>
      <c r="I31" s="24">
        <v>63</v>
      </c>
      <c r="J31" s="10">
        <f t="shared" si="2"/>
        <v>30.288461538461537</v>
      </c>
    </row>
    <row r="32" spans="1:10" ht="29" x14ac:dyDescent="0.45">
      <c r="A32" s="22" t="s">
        <v>40</v>
      </c>
      <c r="B32" s="11">
        <v>36</v>
      </c>
      <c r="C32" s="24">
        <v>5</v>
      </c>
      <c r="D32" s="10">
        <f t="shared" si="0"/>
        <v>13.888888888888889</v>
      </c>
      <c r="E32" s="11">
        <v>36</v>
      </c>
      <c r="F32" s="24">
        <v>4</v>
      </c>
      <c r="G32" s="12">
        <f t="shared" si="1"/>
        <v>11.111111111111111</v>
      </c>
      <c r="H32" s="9">
        <v>36</v>
      </c>
      <c r="I32" s="24">
        <v>13</v>
      </c>
      <c r="J32" s="10">
        <f t="shared" si="2"/>
        <v>36.111111111111107</v>
      </c>
    </row>
    <row r="33" spans="1:10" ht="16.5" x14ac:dyDescent="0.45">
      <c r="A33" s="22" t="s">
        <v>10</v>
      </c>
      <c r="B33" s="11">
        <v>581</v>
      </c>
      <c r="C33" s="24">
        <v>109</v>
      </c>
      <c r="D33" s="10">
        <f t="shared" si="0"/>
        <v>18.760757314974182</v>
      </c>
      <c r="E33" s="11">
        <v>581</v>
      </c>
      <c r="F33" s="24">
        <v>128</v>
      </c>
      <c r="G33" s="12">
        <f t="shared" si="1"/>
        <v>22.030981067125648</v>
      </c>
      <c r="H33" s="9">
        <v>608</v>
      </c>
      <c r="I33" s="24">
        <v>123</v>
      </c>
      <c r="J33" s="10">
        <f t="shared" si="2"/>
        <v>20.230263157894736</v>
      </c>
    </row>
    <row r="34" spans="1:10" ht="29" x14ac:dyDescent="0.45">
      <c r="A34" s="22" t="s">
        <v>41</v>
      </c>
      <c r="B34" s="11">
        <v>129</v>
      </c>
      <c r="C34" s="24">
        <v>43</v>
      </c>
      <c r="D34" s="10">
        <f t="shared" si="0"/>
        <v>33.333333333333329</v>
      </c>
      <c r="E34" s="11">
        <v>129</v>
      </c>
      <c r="F34" s="24">
        <v>69</v>
      </c>
      <c r="G34" s="12">
        <f t="shared" si="1"/>
        <v>53.488372093023251</v>
      </c>
      <c r="H34" s="9">
        <v>153</v>
      </c>
      <c r="I34" s="24">
        <v>70</v>
      </c>
      <c r="J34" s="10">
        <f t="shared" si="2"/>
        <v>45.751633986928105</v>
      </c>
    </row>
    <row r="35" spans="1:10" ht="29" x14ac:dyDescent="0.45">
      <c r="A35" s="22" t="s">
        <v>21</v>
      </c>
      <c r="B35" s="11">
        <v>228</v>
      </c>
      <c r="C35" s="24">
        <v>46</v>
      </c>
      <c r="D35" s="10">
        <f t="shared" si="0"/>
        <v>20.175438596491226</v>
      </c>
      <c r="E35" s="11">
        <v>228</v>
      </c>
      <c r="F35" s="24">
        <v>45</v>
      </c>
      <c r="G35" s="12">
        <f t="shared" si="1"/>
        <v>19.736842105263158</v>
      </c>
      <c r="H35" s="9">
        <v>219</v>
      </c>
      <c r="I35" s="24">
        <v>51</v>
      </c>
      <c r="J35" s="10">
        <f t="shared" si="2"/>
        <v>23.287671232876711</v>
      </c>
    </row>
    <row r="36" spans="1:10" ht="29" x14ac:dyDescent="0.45">
      <c r="A36" s="22" t="s">
        <v>22</v>
      </c>
      <c r="B36" s="11">
        <v>33</v>
      </c>
      <c r="C36" s="24">
        <v>24</v>
      </c>
      <c r="D36" s="10">
        <f t="shared" si="0"/>
        <v>72.727272727272734</v>
      </c>
      <c r="E36" s="11">
        <v>33</v>
      </c>
      <c r="F36" s="24">
        <v>11</v>
      </c>
      <c r="G36" s="12">
        <f t="shared" si="1"/>
        <v>33.333333333333329</v>
      </c>
      <c r="H36" s="9">
        <v>38</v>
      </c>
      <c r="I36" s="24">
        <v>11</v>
      </c>
      <c r="J36" s="10">
        <f t="shared" si="2"/>
        <v>28.947368421052634</v>
      </c>
    </row>
    <row r="37" spans="1:10" ht="29" x14ac:dyDescent="0.45">
      <c r="A37" s="22" t="s">
        <v>23</v>
      </c>
      <c r="B37" s="11">
        <v>38</v>
      </c>
      <c r="C37" s="24">
        <v>10</v>
      </c>
      <c r="D37" s="10">
        <f t="shared" si="0"/>
        <v>26.315789473684209</v>
      </c>
      <c r="E37" s="11">
        <v>38</v>
      </c>
      <c r="F37" s="24">
        <v>5</v>
      </c>
      <c r="G37" s="12">
        <f t="shared" si="1"/>
        <v>13.157894736842104</v>
      </c>
      <c r="H37" s="9">
        <v>41</v>
      </c>
      <c r="I37" s="24">
        <v>9</v>
      </c>
      <c r="J37" s="10">
        <f t="shared" si="2"/>
        <v>21.951219512195124</v>
      </c>
    </row>
    <row r="38" spans="1:10" ht="16.5" x14ac:dyDescent="0.45">
      <c r="A38" s="22" t="s">
        <v>24</v>
      </c>
      <c r="B38" s="11">
        <v>130</v>
      </c>
      <c r="C38" s="24">
        <v>16</v>
      </c>
      <c r="D38" s="10">
        <f t="shared" si="0"/>
        <v>12.307692307692308</v>
      </c>
      <c r="E38" s="11">
        <v>130</v>
      </c>
      <c r="F38" s="24">
        <v>42</v>
      </c>
      <c r="G38" s="12">
        <f t="shared" si="1"/>
        <v>32.307692307692307</v>
      </c>
      <c r="H38" s="9">
        <v>140</v>
      </c>
      <c r="I38" s="24">
        <v>49</v>
      </c>
      <c r="J38" s="10">
        <f t="shared" si="2"/>
        <v>35</v>
      </c>
    </row>
    <row r="39" spans="1:10" ht="43.5" x14ac:dyDescent="0.45">
      <c r="A39" s="22" t="s">
        <v>31</v>
      </c>
      <c r="B39" s="11">
        <v>1467</v>
      </c>
      <c r="C39" s="24">
        <v>305</v>
      </c>
      <c r="D39" s="10">
        <f t="shared" si="0"/>
        <v>20.790729379686436</v>
      </c>
      <c r="E39" s="11">
        <v>1467</v>
      </c>
      <c r="F39" s="24">
        <v>353</v>
      </c>
      <c r="G39" s="12">
        <f t="shared" si="1"/>
        <v>24.062713019768232</v>
      </c>
      <c r="H39" s="9">
        <v>1144</v>
      </c>
      <c r="I39" s="24">
        <v>250</v>
      </c>
      <c r="J39" s="10">
        <f t="shared" si="2"/>
        <v>21.853146853146853</v>
      </c>
    </row>
    <row r="40" spans="1:10" ht="16.5" x14ac:dyDescent="0.45">
      <c r="A40" s="22" t="s">
        <v>11</v>
      </c>
      <c r="B40" s="11">
        <v>166</v>
      </c>
      <c r="C40" s="24">
        <v>32</v>
      </c>
      <c r="D40" s="10">
        <f t="shared" si="0"/>
        <v>19.277108433734941</v>
      </c>
      <c r="E40" s="11">
        <v>166</v>
      </c>
      <c r="F40" s="24">
        <v>45</v>
      </c>
      <c r="G40" s="12">
        <f t="shared" si="1"/>
        <v>27.108433734939759</v>
      </c>
      <c r="H40" s="9">
        <v>177</v>
      </c>
      <c r="I40" s="24">
        <v>66</v>
      </c>
      <c r="J40" s="10">
        <f t="shared" si="2"/>
        <v>37.288135593220339</v>
      </c>
    </row>
    <row r="41" spans="1:10" ht="16.5" x14ac:dyDescent="0.45">
      <c r="A41" s="22" t="s">
        <v>12</v>
      </c>
      <c r="B41" s="11">
        <v>952</v>
      </c>
      <c r="C41" s="24">
        <v>117</v>
      </c>
      <c r="D41" s="10">
        <f t="shared" si="0"/>
        <v>12.289915966386554</v>
      </c>
      <c r="E41" s="11">
        <v>952</v>
      </c>
      <c r="F41" s="24">
        <v>116</v>
      </c>
      <c r="G41" s="12">
        <f t="shared" si="1"/>
        <v>12.184873949579831</v>
      </c>
      <c r="H41" s="9">
        <v>851</v>
      </c>
      <c r="I41" s="24">
        <v>207</v>
      </c>
      <c r="J41" s="10">
        <f t="shared" si="2"/>
        <v>24.324324324324326</v>
      </c>
    </row>
    <row r="42" spans="1:10" ht="29" x14ac:dyDescent="0.45">
      <c r="A42" s="22" t="s">
        <v>32</v>
      </c>
      <c r="B42" s="11">
        <v>30</v>
      </c>
      <c r="C42" s="24">
        <v>50</v>
      </c>
      <c r="D42" s="10">
        <f t="shared" si="0"/>
        <v>166.66666666666669</v>
      </c>
      <c r="E42" s="11">
        <v>30</v>
      </c>
      <c r="F42" s="24">
        <v>38</v>
      </c>
      <c r="G42" s="12">
        <f t="shared" si="1"/>
        <v>126.66666666666666</v>
      </c>
      <c r="H42" s="9">
        <v>50</v>
      </c>
      <c r="I42" s="24">
        <v>53</v>
      </c>
      <c r="J42" s="10">
        <f t="shared" si="2"/>
        <v>106</v>
      </c>
    </row>
    <row r="43" spans="1:10" ht="16.5" x14ac:dyDescent="0.45">
      <c r="A43" s="22" t="s">
        <v>25</v>
      </c>
      <c r="B43" s="11">
        <v>278</v>
      </c>
      <c r="C43" s="24">
        <v>125</v>
      </c>
      <c r="D43" s="10">
        <f t="shared" si="0"/>
        <v>44.964028776978417</v>
      </c>
      <c r="E43" s="11">
        <v>278</v>
      </c>
      <c r="F43" s="24">
        <v>141</v>
      </c>
      <c r="G43" s="12">
        <f t="shared" si="1"/>
        <v>50.719424460431654</v>
      </c>
      <c r="H43" s="9">
        <v>348</v>
      </c>
      <c r="I43" s="24">
        <v>197</v>
      </c>
      <c r="J43" s="10">
        <f t="shared" si="2"/>
        <v>56.609195402298852</v>
      </c>
    </row>
    <row r="44" spans="1:10" ht="16.5" x14ac:dyDescent="0.45">
      <c r="A44" s="22" t="s">
        <v>33</v>
      </c>
      <c r="B44" s="11">
        <v>112</v>
      </c>
      <c r="C44" s="24">
        <v>39</v>
      </c>
      <c r="D44" s="10">
        <f t="shared" si="0"/>
        <v>34.821428571428569</v>
      </c>
      <c r="E44" s="11">
        <v>112</v>
      </c>
      <c r="F44" s="24">
        <v>28</v>
      </c>
      <c r="G44" s="12">
        <f t="shared" si="1"/>
        <v>25</v>
      </c>
      <c r="H44" s="9">
        <v>133</v>
      </c>
      <c r="I44" s="24">
        <v>61</v>
      </c>
      <c r="J44" s="10">
        <f t="shared" si="2"/>
        <v>45.864661654135332</v>
      </c>
    </row>
    <row r="45" spans="1:10" ht="29" x14ac:dyDescent="0.45">
      <c r="A45" s="22" t="s">
        <v>13</v>
      </c>
      <c r="B45" s="11">
        <v>403</v>
      </c>
      <c r="C45" s="24">
        <v>210</v>
      </c>
      <c r="D45" s="10">
        <f t="shared" si="0"/>
        <v>52.109181141439208</v>
      </c>
      <c r="E45" s="11">
        <v>403</v>
      </c>
      <c r="F45" s="24">
        <v>134</v>
      </c>
      <c r="G45" s="12">
        <f t="shared" si="1"/>
        <v>33.250620347394538</v>
      </c>
      <c r="H45" s="9">
        <v>254</v>
      </c>
      <c r="I45" s="24">
        <v>265</v>
      </c>
      <c r="J45" s="10">
        <f t="shared" si="2"/>
        <v>104.33070866141732</v>
      </c>
    </row>
  </sheetData>
  <mergeCells count="7">
    <mergeCell ref="A1:J2"/>
    <mergeCell ref="A3:J3"/>
    <mergeCell ref="A4:J4"/>
    <mergeCell ref="A5:A6"/>
    <mergeCell ref="B5:D5"/>
    <mergeCell ref="E5:G5"/>
    <mergeCell ref="H5:J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58F0-C385-4AC6-B078-947C0A08502D}">
  <dimension ref="A1:J45"/>
  <sheetViews>
    <sheetView topLeftCell="A34" workbookViewId="0">
      <selection sqref="A1:J45"/>
    </sheetView>
  </sheetViews>
  <sheetFormatPr baseColWidth="10" defaultRowHeight="14.5" x14ac:dyDescent="0.35"/>
  <sheetData>
    <row r="1" spans="1:10" x14ac:dyDescent="0.35">
      <c r="A1" s="37" t="s">
        <v>58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8.5" x14ac:dyDescent="0.3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3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44" t="s">
        <v>2</v>
      </c>
      <c r="B5" s="46" t="s">
        <v>55</v>
      </c>
      <c r="C5" s="47"/>
      <c r="D5" s="48"/>
      <c r="E5" s="46" t="s">
        <v>56</v>
      </c>
      <c r="F5" s="47"/>
      <c r="G5" s="48"/>
      <c r="H5" s="46" t="s">
        <v>57</v>
      </c>
      <c r="I5" s="47"/>
      <c r="J5" s="48"/>
    </row>
    <row r="6" spans="1:10" ht="43.5" x14ac:dyDescent="0.35">
      <c r="A6" s="45"/>
      <c r="B6" s="5" t="s">
        <v>42</v>
      </c>
      <c r="C6" s="23" t="s">
        <v>45</v>
      </c>
      <c r="D6" s="28" t="s">
        <v>44</v>
      </c>
      <c r="E6" s="5" t="s">
        <v>42</v>
      </c>
      <c r="F6" s="23" t="s">
        <v>46</v>
      </c>
      <c r="G6" s="28" t="s">
        <v>44</v>
      </c>
      <c r="H6" s="5" t="s">
        <v>42</v>
      </c>
      <c r="I6" s="23" t="s">
        <v>43</v>
      </c>
      <c r="J6" s="5" t="s">
        <v>44</v>
      </c>
    </row>
    <row r="7" spans="1:10" ht="16.5" x14ac:dyDescent="0.45">
      <c r="A7" s="22" t="s">
        <v>26</v>
      </c>
      <c r="B7" s="11">
        <v>499</v>
      </c>
      <c r="C7" s="24">
        <v>169</v>
      </c>
      <c r="D7" s="10">
        <f t="shared" ref="D7:D45" si="0">SUM(C7/B7*100)</f>
        <v>33.867735470941881</v>
      </c>
      <c r="E7" s="11">
        <v>499</v>
      </c>
      <c r="F7" s="24">
        <v>122</v>
      </c>
      <c r="G7" s="12">
        <f t="shared" ref="G7:G45" si="1">SUM(F7/E7*100)</f>
        <v>24.448897795591183</v>
      </c>
      <c r="H7" s="9">
        <v>560</v>
      </c>
      <c r="I7" s="24">
        <v>176</v>
      </c>
      <c r="J7" s="10">
        <f t="shared" ref="J7:J45" si="2">SUM(I7/H7*100)</f>
        <v>31.428571428571427</v>
      </c>
    </row>
    <row r="8" spans="1:10" ht="16.5" x14ac:dyDescent="0.45">
      <c r="A8" s="22" t="s">
        <v>27</v>
      </c>
      <c r="B8" s="11">
        <v>54</v>
      </c>
      <c r="C8" s="24">
        <v>27</v>
      </c>
      <c r="D8" s="10">
        <f t="shared" si="0"/>
        <v>50</v>
      </c>
      <c r="E8" s="11">
        <v>54</v>
      </c>
      <c r="F8" s="24">
        <v>32</v>
      </c>
      <c r="G8" s="12">
        <f t="shared" si="1"/>
        <v>59.259259259259252</v>
      </c>
      <c r="H8" s="9">
        <v>51</v>
      </c>
      <c r="I8" s="24">
        <v>32</v>
      </c>
      <c r="J8" s="10">
        <f t="shared" si="2"/>
        <v>62.745098039215684</v>
      </c>
    </row>
    <row r="9" spans="1:10" ht="29" x14ac:dyDescent="0.45">
      <c r="A9" s="22" t="s">
        <v>34</v>
      </c>
      <c r="B9" s="11">
        <v>61</v>
      </c>
      <c r="C9" s="11">
        <v>20</v>
      </c>
      <c r="D9" s="10">
        <f t="shared" si="0"/>
        <v>32.786885245901637</v>
      </c>
      <c r="E9" s="11">
        <v>61</v>
      </c>
      <c r="F9" s="11">
        <v>24</v>
      </c>
      <c r="G9" s="12">
        <f t="shared" si="1"/>
        <v>39.344262295081968</v>
      </c>
      <c r="H9" s="11">
        <v>105</v>
      </c>
      <c r="I9" s="11">
        <v>32</v>
      </c>
      <c r="J9" s="10">
        <f t="shared" si="2"/>
        <v>30.476190476190478</v>
      </c>
    </row>
    <row r="10" spans="1:10" ht="16.5" x14ac:dyDescent="0.45">
      <c r="A10" s="22" t="s">
        <v>14</v>
      </c>
      <c r="B10" s="11">
        <v>643</v>
      </c>
      <c r="C10" s="24">
        <v>230</v>
      </c>
      <c r="D10" s="10">
        <f t="shared" si="0"/>
        <v>35.769828926905134</v>
      </c>
      <c r="E10" s="11">
        <v>643</v>
      </c>
      <c r="F10" s="24">
        <v>143</v>
      </c>
      <c r="G10" s="12">
        <f t="shared" si="1"/>
        <v>22.239502332814929</v>
      </c>
      <c r="H10" s="9">
        <v>843</v>
      </c>
      <c r="I10" s="24">
        <v>220</v>
      </c>
      <c r="J10" s="10">
        <f t="shared" si="2"/>
        <v>26.097271648873072</v>
      </c>
    </row>
    <row r="11" spans="1:10" ht="16.5" x14ac:dyDescent="0.45">
      <c r="A11" s="22" t="s">
        <v>3</v>
      </c>
      <c r="B11" s="11">
        <v>8431</v>
      </c>
      <c r="C11" s="25">
        <v>3726</v>
      </c>
      <c r="D11" s="10">
        <f t="shared" si="0"/>
        <v>44.194045783418339</v>
      </c>
      <c r="E11" s="11">
        <v>8431</v>
      </c>
      <c r="F11" s="27">
        <v>5395</v>
      </c>
      <c r="G11" s="12">
        <f t="shared" si="1"/>
        <v>63.990036769066535</v>
      </c>
      <c r="H11" s="8">
        <v>10719</v>
      </c>
      <c r="I11" s="27">
        <v>7816</v>
      </c>
      <c r="J11" s="10">
        <f t="shared" si="2"/>
        <v>72.91724974344622</v>
      </c>
    </row>
    <row r="12" spans="1:10" ht="16.5" x14ac:dyDescent="0.45">
      <c r="A12" s="22" t="s">
        <v>35</v>
      </c>
      <c r="B12" s="11">
        <v>117</v>
      </c>
      <c r="C12" s="24">
        <v>40</v>
      </c>
      <c r="D12" s="10">
        <f t="shared" si="0"/>
        <v>34.188034188034187</v>
      </c>
      <c r="E12" s="11">
        <v>117</v>
      </c>
      <c r="F12" s="24">
        <v>31</v>
      </c>
      <c r="G12" s="12">
        <f t="shared" si="1"/>
        <v>26.495726495726498</v>
      </c>
      <c r="H12" s="9">
        <v>64</v>
      </c>
      <c r="I12" s="24">
        <v>58</v>
      </c>
      <c r="J12" s="10">
        <f t="shared" si="2"/>
        <v>90.625</v>
      </c>
    </row>
    <row r="13" spans="1:10" ht="43.5" x14ac:dyDescent="0.45">
      <c r="A13" s="22" t="s">
        <v>15</v>
      </c>
      <c r="B13" s="11">
        <v>236</v>
      </c>
      <c r="C13" s="24">
        <v>81</v>
      </c>
      <c r="D13" s="10">
        <f t="shared" si="0"/>
        <v>34.322033898305079</v>
      </c>
      <c r="E13" s="11">
        <v>236</v>
      </c>
      <c r="F13" s="24">
        <v>90</v>
      </c>
      <c r="G13" s="12">
        <f t="shared" si="1"/>
        <v>38.135593220338983</v>
      </c>
      <c r="H13" s="9">
        <v>231</v>
      </c>
      <c r="I13" s="24">
        <v>137</v>
      </c>
      <c r="J13" s="10">
        <f t="shared" si="2"/>
        <v>59.307359307359306</v>
      </c>
    </row>
    <row r="14" spans="1:10" ht="29" x14ac:dyDescent="0.45">
      <c r="A14" s="22" t="s">
        <v>16</v>
      </c>
      <c r="B14" s="11">
        <v>5736</v>
      </c>
      <c r="C14" s="24">
        <v>2065</v>
      </c>
      <c r="D14" s="10">
        <f t="shared" si="0"/>
        <v>36.000697350069736</v>
      </c>
      <c r="E14" s="11">
        <v>5736</v>
      </c>
      <c r="F14" s="24">
        <v>1564</v>
      </c>
      <c r="G14" s="12">
        <f t="shared" si="1"/>
        <v>27.266387726638776</v>
      </c>
      <c r="H14" s="9">
        <v>6878</v>
      </c>
      <c r="I14" s="24">
        <v>1619</v>
      </c>
      <c r="J14" s="10">
        <f t="shared" si="2"/>
        <v>23.538819424251237</v>
      </c>
    </row>
    <row r="15" spans="1:10" ht="29" x14ac:dyDescent="0.45">
      <c r="A15" s="22" t="s">
        <v>4</v>
      </c>
      <c r="B15" s="11">
        <v>576</v>
      </c>
      <c r="C15" s="29">
        <v>215</v>
      </c>
      <c r="D15" s="10">
        <f t="shared" si="0"/>
        <v>37.326388888888893</v>
      </c>
      <c r="E15" s="11">
        <v>576</v>
      </c>
      <c r="F15" s="24">
        <v>199</v>
      </c>
      <c r="G15" s="12">
        <f t="shared" si="1"/>
        <v>34.548611111111107</v>
      </c>
      <c r="H15" s="9">
        <v>657</v>
      </c>
      <c r="I15" s="24">
        <v>255</v>
      </c>
      <c r="J15" s="10">
        <f t="shared" si="2"/>
        <v>38.81278538812785</v>
      </c>
    </row>
    <row r="16" spans="1:10" ht="16.5" x14ac:dyDescent="0.45">
      <c r="A16" s="22" t="s">
        <v>28</v>
      </c>
      <c r="B16" s="11">
        <v>137</v>
      </c>
      <c r="C16" s="24">
        <v>30</v>
      </c>
      <c r="D16" s="10">
        <f t="shared" si="0"/>
        <v>21.897810218978105</v>
      </c>
      <c r="E16" s="11">
        <v>137</v>
      </c>
      <c r="F16" s="24">
        <v>38</v>
      </c>
      <c r="G16" s="12">
        <f t="shared" si="1"/>
        <v>27.737226277372262</v>
      </c>
      <c r="H16" s="9">
        <v>184</v>
      </c>
      <c r="I16" s="24">
        <v>27</v>
      </c>
      <c r="J16" s="10">
        <f t="shared" si="2"/>
        <v>14.673913043478262</v>
      </c>
    </row>
    <row r="17" spans="1:10" ht="16.5" x14ac:dyDescent="0.45">
      <c r="A17" s="22" t="s">
        <v>36</v>
      </c>
      <c r="B17" s="11">
        <v>62</v>
      </c>
      <c r="C17" s="24">
        <v>9</v>
      </c>
      <c r="D17" s="10">
        <f t="shared" si="0"/>
        <v>14.516129032258066</v>
      </c>
      <c r="E17" s="11">
        <v>62</v>
      </c>
      <c r="F17" s="24">
        <v>22</v>
      </c>
      <c r="G17" s="12">
        <f t="shared" si="1"/>
        <v>35.483870967741936</v>
      </c>
      <c r="H17" s="9">
        <v>69</v>
      </c>
      <c r="I17" s="24">
        <v>33</v>
      </c>
      <c r="J17" s="10">
        <f t="shared" si="2"/>
        <v>47.826086956521742</v>
      </c>
    </row>
    <row r="18" spans="1:10" ht="16.5" x14ac:dyDescent="0.45">
      <c r="A18" s="22" t="s">
        <v>37</v>
      </c>
      <c r="B18" s="11">
        <v>62</v>
      </c>
      <c r="C18" s="24">
        <v>23</v>
      </c>
      <c r="D18" s="10">
        <f t="shared" si="0"/>
        <v>37.096774193548384</v>
      </c>
      <c r="E18" s="11">
        <v>62</v>
      </c>
      <c r="F18" s="24">
        <v>14</v>
      </c>
      <c r="G18" s="12">
        <f t="shared" si="1"/>
        <v>22.58064516129032</v>
      </c>
      <c r="H18" s="9">
        <v>75</v>
      </c>
      <c r="I18" s="24">
        <v>20</v>
      </c>
      <c r="J18" s="10">
        <f t="shared" si="2"/>
        <v>26.666666666666668</v>
      </c>
    </row>
    <row r="19" spans="1:10" ht="16.5" x14ac:dyDescent="0.45">
      <c r="A19" s="22" t="s">
        <v>17</v>
      </c>
      <c r="B19" s="11">
        <v>2230</v>
      </c>
      <c r="C19" s="24">
        <v>835</v>
      </c>
      <c r="D19" s="10">
        <f t="shared" si="0"/>
        <v>37.44394618834081</v>
      </c>
      <c r="E19" s="11">
        <v>2230</v>
      </c>
      <c r="F19" s="24">
        <v>1082</v>
      </c>
      <c r="G19" s="12">
        <f t="shared" si="1"/>
        <v>48.520179372197312</v>
      </c>
      <c r="H19" s="9">
        <v>2609</v>
      </c>
      <c r="I19" s="24">
        <v>944</v>
      </c>
      <c r="J19" s="10">
        <f t="shared" si="2"/>
        <v>36.182445381372176</v>
      </c>
    </row>
    <row r="20" spans="1:10" ht="16.5" x14ac:dyDescent="0.45">
      <c r="A20" s="22" t="s">
        <v>18</v>
      </c>
      <c r="B20" s="11">
        <v>543</v>
      </c>
      <c r="C20" s="24">
        <v>297</v>
      </c>
      <c r="D20" s="10">
        <f t="shared" si="0"/>
        <v>54.696132596685089</v>
      </c>
      <c r="E20" s="11">
        <v>543</v>
      </c>
      <c r="F20" s="24">
        <v>303</v>
      </c>
      <c r="G20" s="12">
        <f t="shared" si="1"/>
        <v>55.80110497237569</v>
      </c>
      <c r="H20" s="9">
        <v>634</v>
      </c>
      <c r="I20" s="24">
        <v>340</v>
      </c>
      <c r="J20" s="10">
        <f t="shared" si="2"/>
        <v>53.627760252365931</v>
      </c>
    </row>
    <row r="21" spans="1:10" ht="16.5" x14ac:dyDescent="0.45">
      <c r="A21" s="22" t="s">
        <v>5</v>
      </c>
      <c r="B21" s="11">
        <v>1425</v>
      </c>
      <c r="C21" s="24">
        <v>608</v>
      </c>
      <c r="D21" s="10">
        <f t="shared" si="0"/>
        <v>42.666666666666671</v>
      </c>
      <c r="E21" s="11">
        <v>1425</v>
      </c>
      <c r="F21" s="24">
        <v>440</v>
      </c>
      <c r="G21" s="12">
        <f t="shared" si="1"/>
        <v>30.87719298245614</v>
      </c>
      <c r="H21" s="9">
        <v>1082</v>
      </c>
      <c r="I21" s="24">
        <v>653</v>
      </c>
      <c r="J21" s="10">
        <f t="shared" si="2"/>
        <v>60.351201478743064</v>
      </c>
    </row>
    <row r="22" spans="1:10" ht="16.5" x14ac:dyDescent="0.45">
      <c r="A22" s="22" t="s">
        <v>19</v>
      </c>
      <c r="B22" s="11">
        <v>284</v>
      </c>
      <c r="C22" s="24">
        <v>112</v>
      </c>
      <c r="D22" s="10">
        <f t="shared" si="0"/>
        <v>39.436619718309856</v>
      </c>
      <c r="E22" s="11">
        <v>284</v>
      </c>
      <c r="F22" s="24">
        <v>95</v>
      </c>
      <c r="G22" s="12">
        <f t="shared" si="1"/>
        <v>33.450704225352112</v>
      </c>
      <c r="H22" s="9">
        <v>376</v>
      </c>
      <c r="I22" s="24">
        <v>175</v>
      </c>
      <c r="J22" s="10">
        <f t="shared" si="2"/>
        <v>46.542553191489361</v>
      </c>
    </row>
    <row r="23" spans="1:10" ht="29" x14ac:dyDescent="0.45">
      <c r="A23" s="22" t="s">
        <v>6</v>
      </c>
      <c r="B23" s="11">
        <v>488</v>
      </c>
      <c r="C23" s="24">
        <v>103</v>
      </c>
      <c r="D23" s="10">
        <f t="shared" si="0"/>
        <v>21.106557377049182</v>
      </c>
      <c r="E23" s="11">
        <v>488</v>
      </c>
      <c r="F23" s="24">
        <v>104</v>
      </c>
      <c r="G23" s="12">
        <f t="shared" si="1"/>
        <v>21.311475409836063</v>
      </c>
      <c r="H23" s="9">
        <v>514</v>
      </c>
      <c r="I23" s="24">
        <v>160</v>
      </c>
      <c r="J23" s="10">
        <f t="shared" si="2"/>
        <v>31.1284046692607</v>
      </c>
    </row>
    <row r="24" spans="1:10" ht="16.5" x14ac:dyDescent="0.45">
      <c r="A24" s="22" t="s">
        <v>29</v>
      </c>
      <c r="B24" s="11">
        <v>443</v>
      </c>
      <c r="C24" s="24">
        <v>307</v>
      </c>
      <c r="D24" s="10">
        <f t="shared" si="0"/>
        <v>69.300225733634306</v>
      </c>
      <c r="E24" s="11">
        <v>443</v>
      </c>
      <c r="F24" s="24">
        <v>313</v>
      </c>
      <c r="G24" s="12">
        <f t="shared" si="1"/>
        <v>70.654627539503394</v>
      </c>
      <c r="H24" s="9">
        <v>425</v>
      </c>
      <c r="I24" s="24">
        <v>252</v>
      </c>
      <c r="J24" s="10">
        <f t="shared" si="2"/>
        <v>59.294117647058819</v>
      </c>
    </row>
    <row r="25" spans="1:10" ht="16.5" x14ac:dyDescent="0.45">
      <c r="A25" s="22" t="s">
        <v>38</v>
      </c>
      <c r="B25" s="11">
        <v>130</v>
      </c>
      <c r="C25" s="24">
        <v>31</v>
      </c>
      <c r="D25" s="10">
        <f t="shared" si="0"/>
        <v>23.846153846153847</v>
      </c>
      <c r="E25" s="11">
        <v>130</v>
      </c>
      <c r="F25" s="24">
        <v>24</v>
      </c>
      <c r="G25" s="12">
        <f t="shared" si="1"/>
        <v>18.461538461538463</v>
      </c>
      <c r="H25" s="9">
        <v>123</v>
      </c>
      <c r="I25" s="24">
        <v>54</v>
      </c>
      <c r="J25" s="10">
        <f t="shared" si="2"/>
        <v>43.902439024390247</v>
      </c>
    </row>
    <row r="26" spans="1:10" ht="16.5" x14ac:dyDescent="0.45">
      <c r="A26" s="22" t="s">
        <v>30</v>
      </c>
      <c r="B26" s="11">
        <v>99</v>
      </c>
      <c r="C26" s="24">
        <v>28</v>
      </c>
      <c r="D26" s="10">
        <f t="shared" si="0"/>
        <v>28.28282828282828</v>
      </c>
      <c r="E26" s="11">
        <v>99</v>
      </c>
      <c r="F26" s="24">
        <v>25</v>
      </c>
      <c r="G26" s="12">
        <f t="shared" si="1"/>
        <v>25.252525252525253</v>
      </c>
      <c r="H26" s="9">
        <v>95</v>
      </c>
      <c r="I26" s="24">
        <v>21</v>
      </c>
      <c r="J26" s="10">
        <f t="shared" si="2"/>
        <v>22.105263157894736</v>
      </c>
    </row>
    <row r="27" spans="1:10" ht="29" x14ac:dyDescent="0.45">
      <c r="A27" s="22" t="s">
        <v>7</v>
      </c>
      <c r="B27" s="11">
        <v>224</v>
      </c>
      <c r="C27" s="24">
        <v>55</v>
      </c>
      <c r="D27" s="10">
        <f t="shared" si="0"/>
        <v>24.553571428571427</v>
      </c>
      <c r="E27" s="11">
        <v>224</v>
      </c>
      <c r="F27" s="24">
        <v>96</v>
      </c>
      <c r="G27" s="12">
        <f t="shared" si="1"/>
        <v>42.857142857142854</v>
      </c>
      <c r="H27" s="9">
        <v>243</v>
      </c>
      <c r="I27" s="24">
        <v>180</v>
      </c>
      <c r="J27" s="10">
        <f t="shared" si="2"/>
        <v>74.074074074074076</v>
      </c>
    </row>
    <row r="28" spans="1:10" ht="29" x14ac:dyDescent="0.45">
      <c r="A28" s="22" t="s">
        <v>20</v>
      </c>
      <c r="B28" s="11">
        <v>220</v>
      </c>
      <c r="C28" s="24">
        <v>59</v>
      </c>
      <c r="D28" s="10">
        <f t="shared" si="0"/>
        <v>26.81818181818182</v>
      </c>
      <c r="E28" s="11">
        <v>220</v>
      </c>
      <c r="F28" s="24">
        <v>86</v>
      </c>
      <c r="G28" s="12">
        <f t="shared" si="1"/>
        <v>39.090909090909093</v>
      </c>
      <c r="H28" s="9">
        <v>212</v>
      </c>
      <c r="I28" s="24">
        <v>164</v>
      </c>
      <c r="J28" s="10">
        <f t="shared" si="2"/>
        <v>77.358490566037744</v>
      </c>
    </row>
    <row r="29" spans="1:10" ht="16.5" x14ac:dyDescent="0.45">
      <c r="A29" s="22" t="s">
        <v>8</v>
      </c>
      <c r="B29" s="11">
        <v>135</v>
      </c>
      <c r="C29" s="24">
        <v>72</v>
      </c>
      <c r="D29" s="10">
        <f t="shared" si="0"/>
        <v>53.333333333333336</v>
      </c>
      <c r="E29" s="11">
        <v>135</v>
      </c>
      <c r="F29" s="24">
        <v>48</v>
      </c>
      <c r="G29" s="12">
        <f t="shared" si="1"/>
        <v>35.555555555555557</v>
      </c>
      <c r="H29" s="9">
        <v>190</v>
      </c>
      <c r="I29" s="24">
        <v>89</v>
      </c>
      <c r="J29" s="10">
        <f t="shared" si="2"/>
        <v>46.842105263157897</v>
      </c>
    </row>
    <row r="30" spans="1:10" ht="29" x14ac:dyDescent="0.45">
      <c r="A30" s="22" t="s">
        <v>9</v>
      </c>
      <c r="B30" s="11">
        <v>1283</v>
      </c>
      <c r="C30" s="24">
        <v>303</v>
      </c>
      <c r="D30" s="10">
        <f t="shared" si="0"/>
        <v>23.616523772408417</v>
      </c>
      <c r="E30" s="11">
        <v>1283</v>
      </c>
      <c r="F30" s="24">
        <v>242</v>
      </c>
      <c r="G30" s="12">
        <f t="shared" si="1"/>
        <v>18.862042088854245</v>
      </c>
      <c r="H30" s="9">
        <v>1399</v>
      </c>
      <c r="I30" s="24">
        <v>362</v>
      </c>
      <c r="J30" s="10">
        <f t="shared" si="2"/>
        <v>25.875625446747673</v>
      </c>
    </row>
    <row r="31" spans="1:10" ht="16.5" x14ac:dyDescent="0.45">
      <c r="A31" s="22" t="s">
        <v>39</v>
      </c>
      <c r="B31" s="11">
        <v>259</v>
      </c>
      <c r="C31" s="24">
        <v>76</v>
      </c>
      <c r="D31" s="10">
        <f t="shared" si="0"/>
        <v>29.343629343629345</v>
      </c>
      <c r="E31" s="11">
        <v>259</v>
      </c>
      <c r="F31" s="24">
        <v>89</v>
      </c>
      <c r="G31" s="12">
        <f t="shared" si="1"/>
        <v>34.362934362934361</v>
      </c>
      <c r="H31" s="9">
        <v>208</v>
      </c>
      <c r="I31" s="24">
        <v>70</v>
      </c>
      <c r="J31" s="10">
        <f t="shared" si="2"/>
        <v>33.653846153846153</v>
      </c>
    </row>
    <row r="32" spans="1:10" ht="29" x14ac:dyDescent="0.45">
      <c r="A32" s="22" t="s">
        <v>40</v>
      </c>
      <c r="B32" s="11">
        <v>36</v>
      </c>
      <c r="C32" s="24">
        <v>5</v>
      </c>
      <c r="D32" s="10">
        <f t="shared" si="0"/>
        <v>13.888888888888889</v>
      </c>
      <c r="E32" s="11">
        <v>36</v>
      </c>
      <c r="F32" s="24">
        <v>4</v>
      </c>
      <c r="G32" s="12">
        <f t="shared" si="1"/>
        <v>11.111111111111111</v>
      </c>
      <c r="H32" s="9">
        <v>36</v>
      </c>
      <c r="I32" s="24">
        <v>13</v>
      </c>
      <c r="J32" s="10">
        <f t="shared" si="2"/>
        <v>36.111111111111107</v>
      </c>
    </row>
    <row r="33" spans="1:10" ht="16.5" x14ac:dyDescent="0.45">
      <c r="A33" s="22" t="s">
        <v>10</v>
      </c>
      <c r="B33" s="11">
        <v>581</v>
      </c>
      <c r="C33" s="24">
        <v>114</v>
      </c>
      <c r="D33" s="10">
        <f t="shared" si="0"/>
        <v>19.621342512908779</v>
      </c>
      <c r="E33" s="11">
        <v>581</v>
      </c>
      <c r="F33" s="24">
        <v>132</v>
      </c>
      <c r="G33" s="12">
        <f t="shared" si="1"/>
        <v>22.719449225473323</v>
      </c>
      <c r="H33" s="9">
        <v>608</v>
      </c>
      <c r="I33" s="24">
        <v>128</v>
      </c>
      <c r="J33" s="10">
        <f t="shared" si="2"/>
        <v>21.052631578947366</v>
      </c>
    </row>
    <row r="34" spans="1:10" ht="29" x14ac:dyDescent="0.45">
      <c r="A34" s="22" t="s">
        <v>41</v>
      </c>
      <c r="B34" s="11">
        <v>129</v>
      </c>
      <c r="C34" s="24">
        <v>46</v>
      </c>
      <c r="D34" s="10">
        <f t="shared" si="0"/>
        <v>35.65891472868217</v>
      </c>
      <c r="E34" s="11">
        <v>129</v>
      </c>
      <c r="F34" s="24">
        <v>77</v>
      </c>
      <c r="G34" s="12">
        <f t="shared" si="1"/>
        <v>59.689922480620147</v>
      </c>
      <c r="H34" s="9">
        <v>153</v>
      </c>
      <c r="I34" s="24">
        <v>73</v>
      </c>
      <c r="J34" s="10">
        <f t="shared" si="2"/>
        <v>47.712418300653596</v>
      </c>
    </row>
    <row r="35" spans="1:10" ht="29" x14ac:dyDescent="0.45">
      <c r="A35" s="22" t="s">
        <v>21</v>
      </c>
      <c r="B35" s="11">
        <v>228</v>
      </c>
      <c r="C35" s="24">
        <v>52</v>
      </c>
      <c r="D35" s="10">
        <f t="shared" si="0"/>
        <v>22.807017543859647</v>
      </c>
      <c r="E35" s="11">
        <v>228</v>
      </c>
      <c r="F35" s="24">
        <v>47</v>
      </c>
      <c r="G35" s="12">
        <f t="shared" si="1"/>
        <v>20.614035087719298</v>
      </c>
      <c r="H35" s="9">
        <v>219</v>
      </c>
      <c r="I35" s="24">
        <v>56</v>
      </c>
      <c r="J35" s="10">
        <f t="shared" si="2"/>
        <v>25.570776255707763</v>
      </c>
    </row>
    <row r="36" spans="1:10" ht="29" x14ac:dyDescent="0.45">
      <c r="A36" s="22" t="s">
        <v>22</v>
      </c>
      <c r="B36" s="11">
        <v>33</v>
      </c>
      <c r="C36" s="24">
        <v>28</v>
      </c>
      <c r="D36" s="10">
        <f t="shared" si="0"/>
        <v>84.848484848484844</v>
      </c>
      <c r="E36" s="11">
        <v>33</v>
      </c>
      <c r="F36" s="24">
        <v>11</v>
      </c>
      <c r="G36" s="12">
        <f t="shared" si="1"/>
        <v>33.333333333333329</v>
      </c>
      <c r="H36" s="9">
        <v>38</v>
      </c>
      <c r="I36" s="24">
        <v>11</v>
      </c>
      <c r="J36" s="10">
        <f t="shared" si="2"/>
        <v>28.947368421052634</v>
      </c>
    </row>
    <row r="37" spans="1:10" ht="29" x14ac:dyDescent="0.45">
      <c r="A37" s="22" t="s">
        <v>23</v>
      </c>
      <c r="B37" s="11">
        <v>38</v>
      </c>
      <c r="C37" s="24">
        <v>12</v>
      </c>
      <c r="D37" s="10">
        <f t="shared" si="0"/>
        <v>31.578947368421051</v>
      </c>
      <c r="E37" s="11">
        <v>38</v>
      </c>
      <c r="F37" s="24">
        <v>5</v>
      </c>
      <c r="G37" s="12">
        <f t="shared" si="1"/>
        <v>13.157894736842104</v>
      </c>
      <c r="H37" s="9">
        <v>41</v>
      </c>
      <c r="I37" s="24">
        <v>16</v>
      </c>
      <c r="J37" s="10">
        <f t="shared" si="2"/>
        <v>39.024390243902438</v>
      </c>
    </row>
    <row r="38" spans="1:10" ht="16.5" x14ac:dyDescent="0.45">
      <c r="A38" s="22" t="s">
        <v>24</v>
      </c>
      <c r="B38" s="11">
        <v>130</v>
      </c>
      <c r="C38" s="24">
        <v>16</v>
      </c>
      <c r="D38" s="10">
        <f t="shared" si="0"/>
        <v>12.307692307692308</v>
      </c>
      <c r="E38" s="11">
        <v>130</v>
      </c>
      <c r="F38" s="24">
        <v>42</v>
      </c>
      <c r="G38" s="12">
        <f t="shared" si="1"/>
        <v>32.307692307692307</v>
      </c>
      <c r="H38" s="9">
        <v>140</v>
      </c>
      <c r="I38" s="24">
        <v>49</v>
      </c>
      <c r="J38" s="10">
        <f t="shared" si="2"/>
        <v>35</v>
      </c>
    </row>
    <row r="39" spans="1:10" ht="43.5" x14ac:dyDescent="0.45">
      <c r="A39" s="22" t="s">
        <v>31</v>
      </c>
      <c r="B39" s="11">
        <v>1467</v>
      </c>
      <c r="C39" s="24">
        <v>340</v>
      </c>
      <c r="D39" s="10">
        <f t="shared" si="0"/>
        <v>23.176550783912749</v>
      </c>
      <c r="E39" s="11">
        <v>1467</v>
      </c>
      <c r="F39" s="24">
        <v>382</v>
      </c>
      <c r="G39" s="12">
        <f t="shared" si="1"/>
        <v>26.03953646898432</v>
      </c>
      <c r="H39" s="9">
        <v>1144</v>
      </c>
      <c r="I39" s="24">
        <v>265</v>
      </c>
      <c r="J39" s="10">
        <f t="shared" si="2"/>
        <v>23.164335664335663</v>
      </c>
    </row>
    <row r="40" spans="1:10" ht="16.5" x14ac:dyDescent="0.45">
      <c r="A40" s="22" t="s">
        <v>11</v>
      </c>
      <c r="B40" s="11">
        <v>166</v>
      </c>
      <c r="C40" s="24">
        <v>32</v>
      </c>
      <c r="D40" s="10">
        <f t="shared" si="0"/>
        <v>19.277108433734941</v>
      </c>
      <c r="E40" s="11">
        <v>166</v>
      </c>
      <c r="F40" s="24">
        <v>47</v>
      </c>
      <c r="G40" s="12">
        <f t="shared" si="1"/>
        <v>28.313253012048197</v>
      </c>
      <c r="H40" s="9">
        <v>177</v>
      </c>
      <c r="I40" s="24">
        <v>66</v>
      </c>
      <c r="J40" s="10">
        <f t="shared" si="2"/>
        <v>37.288135593220339</v>
      </c>
    </row>
    <row r="41" spans="1:10" ht="16.5" x14ac:dyDescent="0.45">
      <c r="A41" s="22" t="s">
        <v>12</v>
      </c>
      <c r="B41" s="11">
        <v>952</v>
      </c>
      <c r="C41" s="24">
        <v>119</v>
      </c>
      <c r="D41" s="10">
        <f t="shared" si="0"/>
        <v>12.5</v>
      </c>
      <c r="E41" s="11">
        <v>952</v>
      </c>
      <c r="F41" s="24">
        <v>118</v>
      </c>
      <c r="G41" s="12">
        <f t="shared" si="1"/>
        <v>12.394957983193278</v>
      </c>
      <c r="H41" s="9">
        <v>851</v>
      </c>
      <c r="I41" s="24">
        <v>231</v>
      </c>
      <c r="J41" s="10">
        <f t="shared" si="2"/>
        <v>27.144535840188016</v>
      </c>
    </row>
    <row r="42" spans="1:10" ht="29" x14ac:dyDescent="0.45">
      <c r="A42" s="22" t="s">
        <v>32</v>
      </c>
      <c r="B42" s="11">
        <v>30</v>
      </c>
      <c r="C42" s="24">
        <v>52</v>
      </c>
      <c r="D42" s="10">
        <f t="shared" si="0"/>
        <v>173.33333333333334</v>
      </c>
      <c r="E42" s="11">
        <v>30</v>
      </c>
      <c r="F42" s="24">
        <v>40</v>
      </c>
      <c r="G42" s="12">
        <f t="shared" si="1"/>
        <v>133.33333333333331</v>
      </c>
      <c r="H42" s="9">
        <v>50</v>
      </c>
      <c r="I42" s="24">
        <v>53</v>
      </c>
      <c r="J42" s="10">
        <f t="shared" si="2"/>
        <v>106</v>
      </c>
    </row>
    <row r="43" spans="1:10" ht="16.5" x14ac:dyDescent="0.45">
      <c r="A43" s="22" t="s">
        <v>25</v>
      </c>
      <c r="B43" s="11">
        <v>278</v>
      </c>
      <c r="C43" s="24">
        <v>158</v>
      </c>
      <c r="D43" s="10">
        <f t="shared" si="0"/>
        <v>56.834532374100718</v>
      </c>
      <c r="E43" s="11">
        <v>278</v>
      </c>
      <c r="F43" s="24">
        <v>168</v>
      </c>
      <c r="G43" s="12">
        <f t="shared" si="1"/>
        <v>60.431654676258994</v>
      </c>
      <c r="H43" s="9">
        <v>348</v>
      </c>
      <c r="I43" s="24">
        <v>236</v>
      </c>
      <c r="J43" s="10">
        <f t="shared" si="2"/>
        <v>67.81609195402298</v>
      </c>
    </row>
    <row r="44" spans="1:10" ht="16.5" x14ac:dyDescent="0.45">
      <c r="A44" s="22" t="s">
        <v>33</v>
      </c>
      <c r="B44" s="11">
        <v>112</v>
      </c>
      <c r="C44" s="24">
        <v>50</v>
      </c>
      <c r="D44" s="10">
        <f t="shared" si="0"/>
        <v>44.642857142857146</v>
      </c>
      <c r="E44" s="11">
        <v>112</v>
      </c>
      <c r="F44" s="24">
        <v>36</v>
      </c>
      <c r="G44" s="12">
        <f t="shared" si="1"/>
        <v>32.142857142857146</v>
      </c>
      <c r="H44" s="9">
        <v>133</v>
      </c>
      <c r="I44" s="24">
        <v>63</v>
      </c>
      <c r="J44" s="10">
        <f t="shared" si="2"/>
        <v>47.368421052631575</v>
      </c>
    </row>
    <row r="45" spans="1:10" ht="29" x14ac:dyDescent="0.45">
      <c r="A45" s="22" t="s">
        <v>13</v>
      </c>
      <c r="B45" s="11">
        <v>403</v>
      </c>
      <c r="C45" s="24">
        <v>232</v>
      </c>
      <c r="D45" s="10">
        <f t="shared" si="0"/>
        <v>57.568238213399503</v>
      </c>
      <c r="E45" s="11">
        <v>403</v>
      </c>
      <c r="F45" s="24">
        <v>155</v>
      </c>
      <c r="G45" s="12">
        <f t="shared" si="1"/>
        <v>38.461538461538467</v>
      </c>
      <c r="H45" s="9">
        <v>254</v>
      </c>
      <c r="I45" s="24">
        <v>273</v>
      </c>
      <c r="J45" s="10">
        <f t="shared" si="2"/>
        <v>107.48031496062993</v>
      </c>
    </row>
  </sheetData>
  <mergeCells count="7">
    <mergeCell ref="A1:J2"/>
    <mergeCell ref="A3:J3"/>
    <mergeCell ref="A4:J4"/>
    <mergeCell ref="A5:A6"/>
    <mergeCell ref="B5:D5"/>
    <mergeCell ref="E5:G5"/>
    <mergeCell ref="H5:J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360F-7E14-4141-8294-2493258719DE}">
  <dimension ref="A1:J45"/>
  <sheetViews>
    <sheetView workbookViewId="0">
      <selection sqref="A1:J45"/>
    </sheetView>
  </sheetViews>
  <sheetFormatPr baseColWidth="10" defaultRowHeight="14.5" x14ac:dyDescent="0.35"/>
  <sheetData>
    <row r="1" spans="1:10" x14ac:dyDescent="0.35">
      <c r="A1" s="37" t="s">
        <v>58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8.5" x14ac:dyDescent="0.3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3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44" t="s">
        <v>2</v>
      </c>
      <c r="B5" s="46" t="s">
        <v>55</v>
      </c>
      <c r="C5" s="47"/>
      <c r="D5" s="48"/>
      <c r="E5" s="46" t="s">
        <v>56</v>
      </c>
      <c r="F5" s="47"/>
      <c r="G5" s="48"/>
      <c r="H5" s="46" t="s">
        <v>57</v>
      </c>
      <c r="I5" s="47"/>
      <c r="J5" s="48"/>
    </row>
    <row r="6" spans="1:10" ht="43.5" x14ac:dyDescent="0.35">
      <c r="A6" s="45"/>
      <c r="B6" s="5" t="s">
        <v>42</v>
      </c>
      <c r="C6" s="23" t="s">
        <v>45</v>
      </c>
      <c r="D6" s="28" t="s">
        <v>44</v>
      </c>
      <c r="E6" s="5" t="s">
        <v>42</v>
      </c>
      <c r="F6" s="23" t="s">
        <v>46</v>
      </c>
      <c r="G6" s="28" t="s">
        <v>44</v>
      </c>
      <c r="H6" s="5" t="s">
        <v>42</v>
      </c>
      <c r="I6" s="23" t="s">
        <v>43</v>
      </c>
      <c r="J6" s="5" t="s">
        <v>44</v>
      </c>
    </row>
    <row r="7" spans="1:10" ht="16.5" x14ac:dyDescent="0.45">
      <c r="A7" s="22" t="s">
        <v>26</v>
      </c>
      <c r="B7" s="11">
        <v>499</v>
      </c>
      <c r="C7" s="24">
        <v>173</v>
      </c>
      <c r="D7" s="10">
        <f t="shared" ref="D7:D45" si="0">SUM(C7/B7*100)</f>
        <v>34.669338677354709</v>
      </c>
      <c r="E7" s="11">
        <v>499</v>
      </c>
      <c r="F7" s="24">
        <v>124</v>
      </c>
      <c r="G7" s="12">
        <f t="shared" ref="G7:G45" si="1">SUM(F7/E7*100)</f>
        <v>24.849699398797593</v>
      </c>
      <c r="H7" s="9">
        <v>560</v>
      </c>
      <c r="I7" s="24">
        <v>182</v>
      </c>
      <c r="J7" s="10">
        <f t="shared" ref="J7:J45" si="2">SUM(I7/H7*100)</f>
        <v>32.5</v>
      </c>
    </row>
    <row r="8" spans="1:10" ht="16.5" x14ac:dyDescent="0.45">
      <c r="A8" s="22" t="s">
        <v>27</v>
      </c>
      <c r="B8" s="11">
        <v>54</v>
      </c>
      <c r="C8" s="24">
        <v>29</v>
      </c>
      <c r="D8" s="10">
        <f t="shared" si="0"/>
        <v>53.703703703703709</v>
      </c>
      <c r="E8" s="11">
        <v>54</v>
      </c>
      <c r="F8" s="24">
        <v>33</v>
      </c>
      <c r="G8" s="12">
        <f t="shared" si="1"/>
        <v>61.111111111111114</v>
      </c>
      <c r="H8" s="9">
        <v>51</v>
      </c>
      <c r="I8" s="24">
        <v>33</v>
      </c>
      <c r="J8" s="10">
        <f t="shared" si="2"/>
        <v>64.705882352941174</v>
      </c>
    </row>
    <row r="9" spans="1:10" ht="29" x14ac:dyDescent="0.45">
      <c r="A9" s="22" t="s">
        <v>34</v>
      </c>
      <c r="B9" s="11">
        <v>61</v>
      </c>
      <c r="C9" s="11">
        <v>23</v>
      </c>
      <c r="D9" s="10">
        <f t="shared" si="0"/>
        <v>37.704918032786885</v>
      </c>
      <c r="E9" s="11">
        <v>61</v>
      </c>
      <c r="F9" s="11">
        <v>24</v>
      </c>
      <c r="G9" s="12">
        <f t="shared" si="1"/>
        <v>39.344262295081968</v>
      </c>
      <c r="H9" s="11">
        <v>105</v>
      </c>
      <c r="I9" s="11">
        <v>32</v>
      </c>
      <c r="J9" s="10">
        <f t="shared" si="2"/>
        <v>30.476190476190478</v>
      </c>
    </row>
    <row r="10" spans="1:10" ht="16.5" x14ac:dyDescent="0.45">
      <c r="A10" s="22" t="s">
        <v>14</v>
      </c>
      <c r="B10" s="11">
        <v>643</v>
      </c>
      <c r="C10" s="24">
        <v>240</v>
      </c>
      <c r="D10" s="10">
        <f t="shared" si="0"/>
        <v>37.325038880248833</v>
      </c>
      <c r="E10" s="11">
        <v>643</v>
      </c>
      <c r="F10" s="24">
        <v>143</v>
      </c>
      <c r="G10" s="12">
        <f t="shared" si="1"/>
        <v>22.239502332814929</v>
      </c>
      <c r="H10" s="9">
        <v>843</v>
      </c>
      <c r="I10" s="24">
        <v>220</v>
      </c>
      <c r="J10" s="10">
        <f t="shared" si="2"/>
        <v>26.097271648873072</v>
      </c>
    </row>
    <row r="11" spans="1:10" ht="16.5" x14ac:dyDescent="0.45">
      <c r="A11" s="22" t="s">
        <v>3</v>
      </c>
      <c r="B11" s="11">
        <v>8431</v>
      </c>
      <c r="C11" s="25">
        <v>4323</v>
      </c>
      <c r="D11" s="10">
        <f t="shared" si="0"/>
        <v>51.275056339698736</v>
      </c>
      <c r="E11" s="11">
        <v>8431</v>
      </c>
      <c r="F11" s="27">
        <v>5493</v>
      </c>
      <c r="G11" s="12">
        <f t="shared" si="1"/>
        <v>65.152413711303524</v>
      </c>
      <c r="H11" s="8">
        <v>10719</v>
      </c>
      <c r="I11" s="27">
        <v>7905</v>
      </c>
      <c r="J11" s="10">
        <f t="shared" si="2"/>
        <v>73.747551077525884</v>
      </c>
    </row>
    <row r="12" spans="1:10" ht="16.5" x14ac:dyDescent="0.45">
      <c r="A12" s="22" t="s">
        <v>35</v>
      </c>
      <c r="B12" s="11">
        <v>117</v>
      </c>
      <c r="C12" s="24">
        <v>40</v>
      </c>
      <c r="D12" s="10">
        <f t="shared" si="0"/>
        <v>34.188034188034187</v>
      </c>
      <c r="E12" s="11">
        <v>117</v>
      </c>
      <c r="F12" s="24">
        <v>31</v>
      </c>
      <c r="G12" s="12">
        <f t="shared" si="1"/>
        <v>26.495726495726498</v>
      </c>
      <c r="H12" s="9">
        <v>64</v>
      </c>
      <c r="I12" s="24">
        <v>58</v>
      </c>
      <c r="J12" s="10">
        <f t="shared" si="2"/>
        <v>90.625</v>
      </c>
    </row>
    <row r="13" spans="1:10" ht="43.5" x14ac:dyDescent="0.45">
      <c r="A13" s="22" t="s">
        <v>15</v>
      </c>
      <c r="B13" s="11">
        <v>236</v>
      </c>
      <c r="C13" s="24">
        <v>83</v>
      </c>
      <c r="D13" s="10">
        <f t="shared" si="0"/>
        <v>35.16949152542373</v>
      </c>
      <c r="E13" s="11">
        <v>236</v>
      </c>
      <c r="F13" s="24">
        <v>91</v>
      </c>
      <c r="G13" s="12">
        <f t="shared" si="1"/>
        <v>38.559322033898304</v>
      </c>
      <c r="H13" s="9">
        <v>231</v>
      </c>
      <c r="I13" s="24">
        <v>141</v>
      </c>
      <c r="J13" s="10">
        <f t="shared" si="2"/>
        <v>61.038961038961034</v>
      </c>
    </row>
    <row r="14" spans="1:10" ht="29" x14ac:dyDescent="0.45">
      <c r="A14" s="22" t="s">
        <v>16</v>
      </c>
      <c r="B14" s="11">
        <v>5736</v>
      </c>
      <c r="C14" s="24">
        <v>2691</v>
      </c>
      <c r="D14" s="10">
        <f t="shared" si="0"/>
        <v>46.914225941422593</v>
      </c>
      <c r="E14" s="11">
        <v>5736</v>
      </c>
      <c r="F14" s="24">
        <v>1564</v>
      </c>
      <c r="G14" s="12">
        <f t="shared" si="1"/>
        <v>27.266387726638776</v>
      </c>
      <c r="H14" s="9">
        <v>6878</v>
      </c>
      <c r="I14" s="24">
        <v>1619</v>
      </c>
      <c r="J14" s="10">
        <f t="shared" si="2"/>
        <v>23.538819424251237</v>
      </c>
    </row>
    <row r="15" spans="1:10" ht="29" x14ac:dyDescent="0.45">
      <c r="A15" s="22" t="s">
        <v>4</v>
      </c>
      <c r="B15" s="11">
        <v>576</v>
      </c>
      <c r="C15" s="29">
        <v>225</v>
      </c>
      <c r="D15" s="10">
        <f t="shared" si="0"/>
        <v>39.0625</v>
      </c>
      <c r="E15" s="11">
        <v>576</v>
      </c>
      <c r="F15" s="24">
        <v>208</v>
      </c>
      <c r="G15" s="12">
        <f t="shared" si="1"/>
        <v>36.111111111111107</v>
      </c>
      <c r="H15" s="9">
        <v>657</v>
      </c>
      <c r="I15" s="24">
        <v>270</v>
      </c>
      <c r="J15" s="10">
        <f t="shared" si="2"/>
        <v>41.095890410958901</v>
      </c>
    </row>
    <row r="16" spans="1:10" ht="16.5" x14ac:dyDescent="0.45">
      <c r="A16" s="22" t="s">
        <v>28</v>
      </c>
      <c r="B16" s="11">
        <v>137</v>
      </c>
      <c r="C16" s="24">
        <v>30</v>
      </c>
      <c r="D16" s="10">
        <f t="shared" si="0"/>
        <v>21.897810218978105</v>
      </c>
      <c r="E16" s="11">
        <v>137</v>
      </c>
      <c r="F16" s="24">
        <v>38</v>
      </c>
      <c r="G16" s="12">
        <f t="shared" si="1"/>
        <v>27.737226277372262</v>
      </c>
      <c r="H16" s="9">
        <v>184</v>
      </c>
      <c r="I16" s="24">
        <v>27</v>
      </c>
      <c r="J16" s="10">
        <f t="shared" si="2"/>
        <v>14.673913043478262</v>
      </c>
    </row>
    <row r="17" spans="1:10" ht="16.5" x14ac:dyDescent="0.45">
      <c r="A17" s="22" t="s">
        <v>36</v>
      </c>
      <c r="B17" s="11">
        <v>62</v>
      </c>
      <c r="C17" s="24">
        <v>9</v>
      </c>
      <c r="D17" s="10">
        <f t="shared" si="0"/>
        <v>14.516129032258066</v>
      </c>
      <c r="E17" s="11">
        <v>62</v>
      </c>
      <c r="F17" s="24">
        <v>26</v>
      </c>
      <c r="G17" s="12">
        <f t="shared" si="1"/>
        <v>41.935483870967744</v>
      </c>
      <c r="H17" s="9">
        <v>69</v>
      </c>
      <c r="I17" s="24">
        <v>33</v>
      </c>
      <c r="J17" s="10">
        <f t="shared" si="2"/>
        <v>47.826086956521742</v>
      </c>
    </row>
    <row r="18" spans="1:10" ht="16.5" x14ac:dyDescent="0.45">
      <c r="A18" s="22" t="s">
        <v>37</v>
      </c>
      <c r="B18" s="11">
        <v>62</v>
      </c>
      <c r="C18" s="24">
        <v>23</v>
      </c>
      <c r="D18" s="10">
        <f t="shared" si="0"/>
        <v>37.096774193548384</v>
      </c>
      <c r="E18" s="11">
        <v>62</v>
      </c>
      <c r="F18" s="24">
        <v>14</v>
      </c>
      <c r="G18" s="12">
        <f t="shared" si="1"/>
        <v>22.58064516129032</v>
      </c>
      <c r="H18" s="9">
        <v>75</v>
      </c>
      <c r="I18" s="24">
        <v>20</v>
      </c>
      <c r="J18" s="10">
        <f t="shared" si="2"/>
        <v>26.666666666666668</v>
      </c>
    </row>
    <row r="19" spans="1:10" ht="16.5" x14ac:dyDescent="0.45">
      <c r="A19" s="22" t="s">
        <v>17</v>
      </c>
      <c r="B19" s="11">
        <v>2230</v>
      </c>
      <c r="C19" s="24">
        <v>849</v>
      </c>
      <c r="D19" s="10">
        <f t="shared" si="0"/>
        <v>38.071748878923763</v>
      </c>
      <c r="E19" s="11">
        <v>2230</v>
      </c>
      <c r="F19" s="24">
        <v>1092</v>
      </c>
      <c r="G19" s="12">
        <f t="shared" si="1"/>
        <v>48.968609865470853</v>
      </c>
      <c r="H19" s="9">
        <v>2609</v>
      </c>
      <c r="I19" s="24">
        <v>956</v>
      </c>
      <c r="J19" s="10">
        <f t="shared" si="2"/>
        <v>36.64239172096589</v>
      </c>
    </row>
    <row r="20" spans="1:10" ht="16.5" x14ac:dyDescent="0.45">
      <c r="A20" s="22" t="s">
        <v>18</v>
      </c>
      <c r="B20" s="11">
        <v>543</v>
      </c>
      <c r="C20" s="24">
        <v>297</v>
      </c>
      <c r="D20" s="10">
        <f t="shared" si="0"/>
        <v>54.696132596685089</v>
      </c>
      <c r="E20" s="11">
        <v>543</v>
      </c>
      <c r="F20" s="24">
        <v>303</v>
      </c>
      <c r="G20" s="12">
        <f t="shared" si="1"/>
        <v>55.80110497237569</v>
      </c>
      <c r="H20" s="9">
        <v>634</v>
      </c>
      <c r="I20" s="24">
        <v>340</v>
      </c>
      <c r="J20" s="10">
        <f t="shared" si="2"/>
        <v>53.627760252365931</v>
      </c>
    </row>
    <row r="21" spans="1:10" ht="16.5" x14ac:dyDescent="0.45">
      <c r="A21" s="22" t="s">
        <v>5</v>
      </c>
      <c r="B21" s="11">
        <v>1425</v>
      </c>
      <c r="C21" s="24">
        <v>614</v>
      </c>
      <c r="D21" s="10">
        <f t="shared" si="0"/>
        <v>43.087719298245617</v>
      </c>
      <c r="E21" s="11">
        <v>1425</v>
      </c>
      <c r="F21" s="24">
        <v>443</v>
      </c>
      <c r="G21" s="12">
        <f t="shared" si="1"/>
        <v>31.087719298245613</v>
      </c>
      <c r="H21" s="9">
        <v>1082</v>
      </c>
      <c r="I21" s="24">
        <v>653</v>
      </c>
      <c r="J21" s="10">
        <f t="shared" si="2"/>
        <v>60.351201478743064</v>
      </c>
    </row>
    <row r="22" spans="1:10" ht="16.5" x14ac:dyDescent="0.45">
      <c r="A22" s="22" t="s">
        <v>19</v>
      </c>
      <c r="B22" s="11">
        <v>284</v>
      </c>
      <c r="C22" s="24">
        <v>115</v>
      </c>
      <c r="D22" s="10">
        <f t="shared" si="0"/>
        <v>40.492957746478872</v>
      </c>
      <c r="E22" s="11">
        <v>284</v>
      </c>
      <c r="F22" s="24">
        <v>96</v>
      </c>
      <c r="G22" s="12">
        <f t="shared" si="1"/>
        <v>33.802816901408448</v>
      </c>
      <c r="H22" s="9">
        <v>376</v>
      </c>
      <c r="I22" s="24">
        <v>176</v>
      </c>
      <c r="J22" s="10">
        <f t="shared" si="2"/>
        <v>46.808510638297875</v>
      </c>
    </row>
    <row r="23" spans="1:10" ht="29" x14ac:dyDescent="0.45">
      <c r="A23" s="22" t="s">
        <v>6</v>
      </c>
      <c r="B23" s="11">
        <v>488</v>
      </c>
      <c r="C23" s="24">
        <v>112</v>
      </c>
      <c r="D23" s="10">
        <f t="shared" si="0"/>
        <v>22.950819672131146</v>
      </c>
      <c r="E23" s="11">
        <v>488</v>
      </c>
      <c r="F23" s="24">
        <v>109</v>
      </c>
      <c r="G23" s="12">
        <f t="shared" si="1"/>
        <v>22.33606557377049</v>
      </c>
      <c r="H23" s="9">
        <v>514</v>
      </c>
      <c r="I23" s="24">
        <v>170</v>
      </c>
      <c r="J23" s="10">
        <f t="shared" si="2"/>
        <v>33.07392996108949</v>
      </c>
    </row>
    <row r="24" spans="1:10" ht="16.5" x14ac:dyDescent="0.45">
      <c r="A24" s="22" t="s">
        <v>29</v>
      </c>
      <c r="B24" s="11">
        <v>443</v>
      </c>
      <c r="C24" s="24">
        <v>313</v>
      </c>
      <c r="D24" s="10">
        <f t="shared" si="0"/>
        <v>70.654627539503394</v>
      </c>
      <c r="E24" s="11">
        <v>443</v>
      </c>
      <c r="F24" s="24">
        <v>318</v>
      </c>
      <c r="G24" s="12">
        <f t="shared" si="1"/>
        <v>71.783295711060944</v>
      </c>
      <c r="H24" s="9">
        <v>425</v>
      </c>
      <c r="I24" s="24">
        <v>253</v>
      </c>
      <c r="J24" s="10">
        <f t="shared" si="2"/>
        <v>59.529411764705884</v>
      </c>
    </row>
    <row r="25" spans="1:10" ht="16.5" x14ac:dyDescent="0.45">
      <c r="A25" s="22" t="s">
        <v>38</v>
      </c>
      <c r="B25" s="11">
        <v>130</v>
      </c>
      <c r="C25" s="24">
        <v>31</v>
      </c>
      <c r="D25" s="10">
        <f t="shared" si="0"/>
        <v>23.846153846153847</v>
      </c>
      <c r="E25" s="11">
        <v>130</v>
      </c>
      <c r="F25" s="24">
        <v>24</v>
      </c>
      <c r="G25" s="12">
        <f t="shared" si="1"/>
        <v>18.461538461538463</v>
      </c>
      <c r="H25" s="9">
        <v>123</v>
      </c>
      <c r="I25" s="24">
        <v>54</v>
      </c>
      <c r="J25" s="10">
        <f t="shared" si="2"/>
        <v>43.902439024390247</v>
      </c>
    </row>
    <row r="26" spans="1:10" ht="16.5" x14ac:dyDescent="0.45">
      <c r="A26" s="22" t="s">
        <v>30</v>
      </c>
      <c r="B26" s="11">
        <v>99</v>
      </c>
      <c r="C26" s="24">
        <v>29</v>
      </c>
      <c r="D26" s="10">
        <f t="shared" si="0"/>
        <v>29.292929292929294</v>
      </c>
      <c r="E26" s="11">
        <v>99</v>
      </c>
      <c r="F26" s="24">
        <v>26</v>
      </c>
      <c r="G26" s="12">
        <f t="shared" si="1"/>
        <v>26.262626262626267</v>
      </c>
      <c r="H26" s="9">
        <v>95</v>
      </c>
      <c r="I26" s="24">
        <v>24</v>
      </c>
      <c r="J26" s="10">
        <f t="shared" si="2"/>
        <v>25.263157894736842</v>
      </c>
    </row>
    <row r="27" spans="1:10" ht="29" x14ac:dyDescent="0.45">
      <c r="A27" s="22" t="s">
        <v>7</v>
      </c>
      <c r="B27" s="11">
        <v>224</v>
      </c>
      <c r="C27" s="24">
        <v>56</v>
      </c>
      <c r="D27" s="10">
        <f t="shared" si="0"/>
        <v>25</v>
      </c>
      <c r="E27" s="11">
        <v>224</v>
      </c>
      <c r="F27" s="24">
        <v>99</v>
      </c>
      <c r="G27" s="12">
        <f t="shared" si="1"/>
        <v>44.196428571428569</v>
      </c>
      <c r="H27" s="9">
        <v>243</v>
      </c>
      <c r="I27" s="24">
        <v>182</v>
      </c>
      <c r="J27" s="10">
        <f t="shared" si="2"/>
        <v>74.897119341563794</v>
      </c>
    </row>
    <row r="28" spans="1:10" ht="29" x14ac:dyDescent="0.45">
      <c r="A28" s="22" t="s">
        <v>20</v>
      </c>
      <c r="B28" s="11">
        <v>220</v>
      </c>
      <c r="C28" s="24">
        <v>61</v>
      </c>
      <c r="D28" s="10">
        <f t="shared" si="0"/>
        <v>27.727272727272727</v>
      </c>
      <c r="E28" s="11">
        <v>220</v>
      </c>
      <c r="F28" s="24">
        <v>86</v>
      </c>
      <c r="G28" s="12">
        <f t="shared" si="1"/>
        <v>39.090909090909093</v>
      </c>
      <c r="H28" s="9">
        <v>212</v>
      </c>
      <c r="I28" s="24">
        <v>168</v>
      </c>
      <c r="J28" s="10">
        <f t="shared" si="2"/>
        <v>79.245283018867923</v>
      </c>
    </row>
    <row r="29" spans="1:10" ht="16.5" x14ac:dyDescent="0.45">
      <c r="A29" s="22" t="s">
        <v>8</v>
      </c>
      <c r="B29" s="11">
        <v>135</v>
      </c>
      <c r="C29" s="24">
        <v>72</v>
      </c>
      <c r="D29" s="10">
        <f t="shared" si="0"/>
        <v>53.333333333333336</v>
      </c>
      <c r="E29" s="11">
        <v>135</v>
      </c>
      <c r="F29" s="24">
        <v>48</v>
      </c>
      <c r="G29" s="12">
        <f t="shared" si="1"/>
        <v>35.555555555555557</v>
      </c>
      <c r="H29" s="9">
        <v>190</v>
      </c>
      <c r="I29" s="24">
        <v>94</v>
      </c>
      <c r="J29" s="10">
        <f t="shared" si="2"/>
        <v>49.473684210526315</v>
      </c>
    </row>
    <row r="30" spans="1:10" ht="29" x14ac:dyDescent="0.45">
      <c r="A30" s="22" t="s">
        <v>9</v>
      </c>
      <c r="B30" s="11">
        <v>1283</v>
      </c>
      <c r="C30" s="24">
        <v>306</v>
      </c>
      <c r="D30" s="10">
        <f t="shared" si="0"/>
        <v>23.850350740452065</v>
      </c>
      <c r="E30" s="11">
        <v>1283</v>
      </c>
      <c r="F30" s="24">
        <v>242</v>
      </c>
      <c r="G30" s="12">
        <f t="shared" si="1"/>
        <v>18.862042088854245</v>
      </c>
      <c r="H30" s="9">
        <v>1399</v>
      </c>
      <c r="I30" s="24">
        <v>362</v>
      </c>
      <c r="J30" s="10">
        <f t="shared" si="2"/>
        <v>25.875625446747673</v>
      </c>
    </row>
    <row r="31" spans="1:10" ht="16.5" x14ac:dyDescent="0.45">
      <c r="A31" s="22" t="s">
        <v>39</v>
      </c>
      <c r="B31" s="11">
        <v>259</v>
      </c>
      <c r="C31" s="24">
        <v>77</v>
      </c>
      <c r="D31" s="10">
        <f t="shared" si="0"/>
        <v>29.72972972972973</v>
      </c>
      <c r="E31" s="11">
        <v>259</v>
      </c>
      <c r="F31" s="24">
        <v>90</v>
      </c>
      <c r="G31" s="12">
        <f t="shared" si="1"/>
        <v>34.749034749034749</v>
      </c>
      <c r="H31" s="9">
        <v>208</v>
      </c>
      <c r="I31" s="24">
        <v>72</v>
      </c>
      <c r="J31" s="10">
        <f t="shared" si="2"/>
        <v>34.615384615384613</v>
      </c>
    </row>
    <row r="32" spans="1:10" ht="29" x14ac:dyDescent="0.45">
      <c r="A32" s="22" t="s">
        <v>40</v>
      </c>
      <c r="B32" s="11">
        <v>36</v>
      </c>
      <c r="C32" s="24">
        <v>5</v>
      </c>
      <c r="D32" s="10">
        <f t="shared" si="0"/>
        <v>13.888888888888889</v>
      </c>
      <c r="E32" s="11">
        <v>36</v>
      </c>
      <c r="F32" s="24">
        <v>4</v>
      </c>
      <c r="G32" s="12">
        <f t="shared" si="1"/>
        <v>11.111111111111111</v>
      </c>
      <c r="H32" s="9">
        <v>36</v>
      </c>
      <c r="I32" s="24">
        <v>13</v>
      </c>
      <c r="J32" s="10">
        <f t="shared" si="2"/>
        <v>36.111111111111107</v>
      </c>
    </row>
    <row r="33" spans="1:10" ht="16.5" x14ac:dyDescent="0.45">
      <c r="A33" s="22" t="s">
        <v>10</v>
      </c>
      <c r="B33" s="11">
        <v>581</v>
      </c>
      <c r="C33" s="24">
        <v>114</v>
      </c>
      <c r="D33" s="10">
        <f t="shared" si="0"/>
        <v>19.621342512908779</v>
      </c>
      <c r="E33" s="11">
        <v>581</v>
      </c>
      <c r="F33" s="24">
        <v>132</v>
      </c>
      <c r="G33" s="12">
        <f t="shared" si="1"/>
        <v>22.719449225473323</v>
      </c>
      <c r="H33" s="9">
        <v>608</v>
      </c>
      <c r="I33" s="24">
        <v>128</v>
      </c>
      <c r="J33" s="10">
        <f t="shared" si="2"/>
        <v>21.052631578947366</v>
      </c>
    </row>
    <row r="34" spans="1:10" ht="29" x14ac:dyDescent="0.45">
      <c r="A34" s="22" t="s">
        <v>41</v>
      </c>
      <c r="B34" s="11">
        <v>129</v>
      </c>
      <c r="C34" s="24">
        <v>46</v>
      </c>
      <c r="D34" s="10">
        <f t="shared" si="0"/>
        <v>35.65891472868217</v>
      </c>
      <c r="E34" s="11">
        <v>129</v>
      </c>
      <c r="F34" s="24">
        <v>77</v>
      </c>
      <c r="G34" s="12">
        <f t="shared" si="1"/>
        <v>59.689922480620147</v>
      </c>
      <c r="H34" s="9">
        <v>153</v>
      </c>
      <c r="I34" s="24">
        <v>73</v>
      </c>
      <c r="J34" s="10">
        <f t="shared" si="2"/>
        <v>47.712418300653596</v>
      </c>
    </row>
    <row r="35" spans="1:10" ht="29" x14ac:dyDescent="0.45">
      <c r="A35" s="22" t="s">
        <v>21</v>
      </c>
      <c r="B35" s="11">
        <v>228</v>
      </c>
      <c r="C35" s="24">
        <v>53</v>
      </c>
      <c r="D35" s="10">
        <f t="shared" si="0"/>
        <v>23.245614035087719</v>
      </c>
      <c r="E35" s="11">
        <v>228</v>
      </c>
      <c r="F35" s="24">
        <v>48</v>
      </c>
      <c r="G35" s="12">
        <f t="shared" si="1"/>
        <v>21.052631578947366</v>
      </c>
      <c r="H35" s="9">
        <v>219</v>
      </c>
      <c r="I35" s="24">
        <v>61</v>
      </c>
      <c r="J35" s="10">
        <f t="shared" si="2"/>
        <v>27.853881278538811</v>
      </c>
    </row>
    <row r="36" spans="1:10" ht="29" x14ac:dyDescent="0.45">
      <c r="A36" s="22" t="s">
        <v>22</v>
      </c>
      <c r="B36" s="11">
        <v>33</v>
      </c>
      <c r="C36" s="24">
        <v>28</v>
      </c>
      <c r="D36" s="10">
        <f t="shared" si="0"/>
        <v>84.848484848484844</v>
      </c>
      <c r="E36" s="11">
        <v>33</v>
      </c>
      <c r="F36" s="24">
        <v>11</v>
      </c>
      <c r="G36" s="12">
        <f t="shared" si="1"/>
        <v>33.333333333333329</v>
      </c>
      <c r="H36" s="9">
        <v>38</v>
      </c>
      <c r="I36" s="24">
        <v>11</v>
      </c>
      <c r="J36" s="10">
        <f t="shared" si="2"/>
        <v>28.947368421052634</v>
      </c>
    </row>
    <row r="37" spans="1:10" ht="29" x14ac:dyDescent="0.45">
      <c r="A37" s="22" t="s">
        <v>23</v>
      </c>
      <c r="B37" s="11">
        <v>38</v>
      </c>
      <c r="C37" s="24">
        <v>12</v>
      </c>
      <c r="D37" s="10">
        <f t="shared" si="0"/>
        <v>31.578947368421051</v>
      </c>
      <c r="E37" s="11">
        <v>38</v>
      </c>
      <c r="F37" s="24">
        <v>5</v>
      </c>
      <c r="G37" s="12">
        <f t="shared" si="1"/>
        <v>13.157894736842104</v>
      </c>
      <c r="H37" s="9">
        <v>41</v>
      </c>
      <c r="I37" s="24">
        <v>16</v>
      </c>
      <c r="J37" s="10">
        <f t="shared" si="2"/>
        <v>39.024390243902438</v>
      </c>
    </row>
    <row r="38" spans="1:10" ht="16.5" x14ac:dyDescent="0.45">
      <c r="A38" s="22" t="s">
        <v>24</v>
      </c>
      <c r="B38" s="11">
        <v>130</v>
      </c>
      <c r="C38" s="24">
        <v>20</v>
      </c>
      <c r="D38" s="10">
        <f t="shared" si="0"/>
        <v>15.384615384615385</v>
      </c>
      <c r="E38" s="11">
        <v>130</v>
      </c>
      <c r="F38" s="24">
        <v>42</v>
      </c>
      <c r="G38" s="12">
        <f t="shared" si="1"/>
        <v>32.307692307692307</v>
      </c>
      <c r="H38" s="9">
        <v>140</v>
      </c>
      <c r="I38" s="24">
        <v>51</v>
      </c>
      <c r="J38" s="10">
        <f t="shared" si="2"/>
        <v>36.428571428571423</v>
      </c>
    </row>
    <row r="39" spans="1:10" ht="43.5" x14ac:dyDescent="0.45">
      <c r="A39" s="22" t="s">
        <v>31</v>
      </c>
      <c r="B39" s="11">
        <v>1467</v>
      </c>
      <c r="C39" s="24">
        <v>346</v>
      </c>
      <c r="D39" s="10">
        <f t="shared" si="0"/>
        <v>23.585548738922974</v>
      </c>
      <c r="E39" s="11">
        <v>1467</v>
      </c>
      <c r="F39" s="24">
        <v>384</v>
      </c>
      <c r="G39" s="12">
        <f t="shared" si="1"/>
        <v>26.175869120654401</v>
      </c>
      <c r="H39" s="9">
        <v>1144</v>
      </c>
      <c r="I39" s="24">
        <v>269</v>
      </c>
      <c r="J39" s="10">
        <f t="shared" si="2"/>
        <v>23.513986013986013</v>
      </c>
    </row>
    <row r="40" spans="1:10" ht="16.5" x14ac:dyDescent="0.45">
      <c r="A40" s="22" t="s">
        <v>11</v>
      </c>
      <c r="B40" s="11">
        <v>166</v>
      </c>
      <c r="C40" s="24">
        <v>41</v>
      </c>
      <c r="D40" s="10">
        <f t="shared" si="0"/>
        <v>24.69879518072289</v>
      </c>
      <c r="E40" s="11">
        <v>166</v>
      </c>
      <c r="F40" s="24">
        <v>53</v>
      </c>
      <c r="G40" s="12">
        <f t="shared" si="1"/>
        <v>31.92771084337349</v>
      </c>
      <c r="H40" s="9">
        <v>177</v>
      </c>
      <c r="I40" s="24">
        <v>72</v>
      </c>
      <c r="J40" s="10">
        <f t="shared" si="2"/>
        <v>40.677966101694921</v>
      </c>
    </row>
    <row r="41" spans="1:10" ht="16.5" x14ac:dyDescent="0.45">
      <c r="A41" s="22" t="s">
        <v>12</v>
      </c>
      <c r="B41" s="11">
        <v>952</v>
      </c>
      <c r="C41" s="24">
        <v>125</v>
      </c>
      <c r="D41" s="10">
        <f t="shared" si="0"/>
        <v>13.130252100840337</v>
      </c>
      <c r="E41" s="11">
        <v>952</v>
      </c>
      <c r="F41" s="24">
        <v>118</v>
      </c>
      <c r="G41" s="12">
        <f t="shared" si="1"/>
        <v>12.394957983193278</v>
      </c>
      <c r="H41" s="9">
        <v>851</v>
      </c>
      <c r="I41" s="24">
        <v>235</v>
      </c>
      <c r="J41" s="10">
        <f t="shared" si="2"/>
        <v>27.614571092831962</v>
      </c>
    </row>
    <row r="42" spans="1:10" ht="29" x14ac:dyDescent="0.45">
      <c r="A42" s="22" t="s">
        <v>32</v>
      </c>
      <c r="B42" s="11">
        <v>30</v>
      </c>
      <c r="C42" s="24">
        <v>52</v>
      </c>
      <c r="D42" s="10">
        <f t="shared" si="0"/>
        <v>173.33333333333334</v>
      </c>
      <c r="E42" s="11">
        <v>30</v>
      </c>
      <c r="F42" s="24">
        <v>41</v>
      </c>
      <c r="G42" s="12">
        <f t="shared" si="1"/>
        <v>136.66666666666666</v>
      </c>
      <c r="H42" s="9">
        <v>50</v>
      </c>
      <c r="I42" s="24">
        <v>53</v>
      </c>
      <c r="J42" s="10">
        <f t="shared" si="2"/>
        <v>106</v>
      </c>
    </row>
    <row r="43" spans="1:10" ht="16.5" x14ac:dyDescent="0.45">
      <c r="A43" s="22" t="s">
        <v>25</v>
      </c>
      <c r="B43" s="11">
        <v>278</v>
      </c>
      <c r="C43" s="24">
        <v>158</v>
      </c>
      <c r="D43" s="10">
        <f t="shared" si="0"/>
        <v>56.834532374100718</v>
      </c>
      <c r="E43" s="11">
        <v>278</v>
      </c>
      <c r="F43" s="24">
        <v>168</v>
      </c>
      <c r="G43" s="12">
        <f t="shared" si="1"/>
        <v>60.431654676258994</v>
      </c>
      <c r="H43" s="9">
        <v>348</v>
      </c>
      <c r="I43" s="24">
        <v>236</v>
      </c>
      <c r="J43" s="10">
        <f t="shared" si="2"/>
        <v>67.81609195402298</v>
      </c>
    </row>
    <row r="44" spans="1:10" ht="16.5" x14ac:dyDescent="0.45">
      <c r="A44" s="22" t="s">
        <v>33</v>
      </c>
      <c r="B44" s="11">
        <v>112</v>
      </c>
      <c r="C44" s="24">
        <v>50</v>
      </c>
      <c r="D44" s="10">
        <f t="shared" si="0"/>
        <v>44.642857142857146</v>
      </c>
      <c r="E44" s="11">
        <v>112</v>
      </c>
      <c r="F44" s="24">
        <v>36</v>
      </c>
      <c r="G44" s="12">
        <f t="shared" si="1"/>
        <v>32.142857142857146</v>
      </c>
      <c r="H44" s="9">
        <v>133</v>
      </c>
      <c r="I44" s="24">
        <v>63</v>
      </c>
      <c r="J44" s="10">
        <f t="shared" si="2"/>
        <v>47.368421052631575</v>
      </c>
    </row>
    <row r="45" spans="1:10" ht="29" x14ac:dyDescent="0.45">
      <c r="A45" s="22" t="s">
        <v>13</v>
      </c>
      <c r="B45" s="11">
        <v>403</v>
      </c>
      <c r="C45" s="24">
        <v>242</v>
      </c>
      <c r="D45" s="10">
        <f t="shared" si="0"/>
        <v>60.049627791563275</v>
      </c>
      <c r="E45" s="11">
        <v>403</v>
      </c>
      <c r="F45" s="24">
        <v>161</v>
      </c>
      <c r="G45" s="12">
        <f t="shared" si="1"/>
        <v>39.950372208436725</v>
      </c>
      <c r="H45" s="9">
        <v>254</v>
      </c>
      <c r="I45" s="24">
        <v>418</v>
      </c>
      <c r="J45" s="10">
        <f t="shared" si="2"/>
        <v>164.56692913385825</v>
      </c>
    </row>
  </sheetData>
  <mergeCells count="7">
    <mergeCell ref="A1:J2"/>
    <mergeCell ref="A3:J3"/>
    <mergeCell ref="A4:J4"/>
    <mergeCell ref="A5:A6"/>
    <mergeCell ref="B5:D5"/>
    <mergeCell ref="E5:G5"/>
    <mergeCell ref="H5:J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E6597-A807-4C09-94AC-E941E059233E}">
  <dimension ref="A1:J45"/>
  <sheetViews>
    <sheetView topLeftCell="A21" workbookViewId="0">
      <selection activeCell="M16" sqref="M16"/>
    </sheetView>
  </sheetViews>
  <sheetFormatPr baseColWidth="10" defaultRowHeight="14.5" x14ac:dyDescent="0.35"/>
  <sheetData>
    <row r="1" spans="1:10" x14ac:dyDescent="0.35">
      <c r="A1" s="37" t="s">
        <v>58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8.5" x14ac:dyDescent="0.3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3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44" t="s">
        <v>2</v>
      </c>
      <c r="B5" s="46" t="s">
        <v>55</v>
      </c>
      <c r="C5" s="47"/>
      <c r="D5" s="48"/>
      <c r="E5" s="46" t="s">
        <v>56</v>
      </c>
      <c r="F5" s="47"/>
      <c r="G5" s="48"/>
      <c r="H5" s="46" t="s">
        <v>57</v>
      </c>
      <c r="I5" s="47"/>
      <c r="J5" s="48"/>
    </row>
    <row r="6" spans="1:10" ht="43.5" x14ac:dyDescent="0.35">
      <c r="A6" s="45"/>
      <c r="B6" s="5" t="s">
        <v>42</v>
      </c>
      <c r="C6" s="23" t="s">
        <v>45</v>
      </c>
      <c r="D6" s="28" t="s">
        <v>44</v>
      </c>
      <c r="E6" s="5" t="s">
        <v>42</v>
      </c>
      <c r="F6" s="23" t="s">
        <v>46</v>
      </c>
      <c r="G6" s="28" t="s">
        <v>44</v>
      </c>
      <c r="H6" s="5" t="s">
        <v>42</v>
      </c>
      <c r="I6" s="23" t="s">
        <v>43</v>
      </c>
      <c r="J6" s="5" t="s">
        <v>44</v>
      </c>
    </row>
    <row r="7" spans="1:10" ht="16.5" x14ac:dyDescent="0.45">
      <c r="A7" s="22" t="s">
        <v>26</v>
      </c>
      <c r="B7" s="11">
        <v>499</v>
      </c>
      <c r="C7" s="24">
        <v>178</v>
      </c>
      <c r="D7" s="10">
        <f t="shared" ref="D7:D45" si="0">SUM(C7/B7*100)</f>
        <v>35.671342685370746</v>
      </c>
      <c r="E7" s="11">
        <v>499</v>
      </c>
      <c r="F7" s="24">
        <v>125</v>
      </c>
      <c r="G7" s="12">
        <f t="shared" ref="G7:G45" si="1">SUM(F7/E7*100)</f>
        <v>25.050100200400799</v>
      </c>
      <c r="H7" s="9">
        <v>560</v>
      </c>
      <c r="I7" s="24">
        <v>183</v>
      </c>
      <c r="J7" s="10">
        <f t="shared" ref="J7:J45" si="2">SUM(I7/H7*100)</f>
        <v>32.678571428571431</v>
      </c>
    </row>
    <row r="8" spans="1:10" ht="16.5" x14ac:dyDescent="0.45">
      <c r="A8" s="22" t="s">
        <v>27</v>
      </c>
      <c r="B8" s="11">
        <v>54</v>
      </c>
      <c r="C8" s="24">
        <v>33</v>
      </c>
      <c r="D8" s="10">
        <f t="shared" si="0"/>
        <v>61.111111111111114</v>
      </c>
      <c r="E8" s="11">
        <v>54</v>
      </c>
      <c r="F8" s="24">
        <v>34</v>
      </c>
      <c r="G8" s="12">
        <f t="shared" si="1"/>
        <v>62.962962962962962</v>
      </c>
      <c r="H8" s="9">
        <v>51</v>
      </c>
      <c r="I8" s="24">
        <v>34</v>
      </c>
      <c r="J8" s="10">
        <f t="shared" si="2"/>
        <v>66.666666666666657</v>
      </c>
    </row>
    <row r="9" spans="1:10" ht="29" x14ac:dyDescent="0.45">
      <c r="A9" s="22" t="s">
        <v>34</v>
      </c>
      <c r="B9" s="11">
        <v>61</v>
      </c>
      <c r="C9" s="11">
        <v>23</v>
      </c>
      <c r="D9" s="10">
        <f t="shared" si="0"/>
        <v>37.704918032786885</v>
      </c>
      <c r="E9" s="11">
        <v>61</v>
      </c>
      <c r="F9" s="11">
        <v>24</v>
      </c>
      <c r="G9" s="12">
        <f t="shared" si="1"/>
        <v>39.344262295081968</v>
      </c>
      <c r="H9" s="11">
        <v>105</v>
      </c>
      <c r="I9" s="11">
        <v>32</v>
      </c>
      <c r="J9" s="10">
        <f t="shared" si="2"/>
        <v>30.476190476190478</v>
      </c>
    </row>
    <row r="10" spans="1:10" ht="16.5" x14ac:dyDescent="0.45">
      <c r="A10" s="22" t="s">
        <v>14</v>
      </c>
      <c r="B10" s="11">
        <v>643</v>
      </c>
      <c r="C10" s="24">
        <v>240</v>
      </c>
      <c r="D10" s="10">
        <f t="shared" si="0"/>
        <v>37.325038880248833</v>
      </c>
      <c r="E10" s="11">
        <v>643</v>
      </c>
      <c r="F10" s="24">
        <v>143</v>
      </c>
      <c r="G10" s="12">
        <f t="shared" si="1"/>
        <v>22.239502332814929</v>
      </c>
      <c r="H10" s="9">
        <v>843</v>
      </c>
      <c r="I10" s="24">
        <v>220</v>
      </c>
      <c r="J10" s="10">
        <f t="shared" si="2"/>
        <v>26.097271648873072</v>
      </c>
    </row>
    <row r="11" spans="1:10" ht="16.5" x14ac:dyDescent="0.45">
      <c r="A11" s="22" t="s">
        <v>3</v>
      </c>
      <c r="B11" s="11">
        <v>8431</v>
      </c>
      <c r="C11" s="25">
        <v>4516</v>
      </c>
      <c r="D11" s="10">
        <f t="shared" si="0"/>
        <v>53.564227256553195</v>
      </c>
      <c r="E11" s="11">
        <v>8431</v>
      </c>
      <c r="F11" s="27">
        <v>5626</v>
      </c>
      <c r="G11" s="12">
        <f t="shared" si="1"/>
        <v>66.729925275767997</v>
      </c>
      <c r="H11" s="8">
        <v>10719</v>
      </c>
      <c r="I11" s="27">
        <v>7986</v>
      </c>
      <c r="J11" s="10">
        <f t="shared" si="2"/>
        <v>74.503218583823113</v>
      </c>
    </row>
    <row r="12" spans="1:10" ht="16.5" x14ac:dyDescent="0.45">
      <c r="A12" s="22" t="s">
        <v>35</v>
      </c>
      <c r="B12" s="11">
        <v>117</v>
      </c>
      <c r="C12" s="24">
        <v>40</v>
      </c>
      <c r="D12" s="10">
        <f t="shared" si="0"/>
        <v>34.188034188034187</v>
      </c>
      <c r="E12" s="11">
        <v>117</v>
      </c>
      <c r="F12" s="24">
        <v>33</v>
      </c>
      <c r="G12" s="12">
        <f t="shared" si="1"/>
        <v>28.205128205128204</v>
      </c>
      <c r="H12" s="9">
        <v>64</v>
      </c>
      <c r="I12" s="24">
        <v>59</v>
      </c>
      <c r="J12" s="10">
        <f t="shared" si="2"/>
        <v>92.1875</v>
      </c>
    </row>
    <row r="13" spans="1:10" ht="43.5" x14ac:dyDescent="0.45">
      <c r="A13" s="22" t="s">
        <v>15</v>
      </c>
      <c r="B13" s="11">
        <v>236</v>
      </c>
      <c r="C13" s="24">
        <v>84</v>
      </c>
      <c r="D13" s="10">
        <f t="shared" si="0"/>
        <v>35.593220338983052</v>
      </c>
      <c r="E13" s="11">
        <v>236</v>
      </c>
      <c r="F13" s="24">
        <v>91</v>
      </c>
      <c r="G13" s="12">
        <f t="shared" si="1"/>
        <v>38.559322033898304</v>
      </c>
      <c r="H13" s="9">
        <v>231</v>
      </c>
      <c r="I13" s="24">
        <v>142</v>
      </c>
      <c r="J13" s="10">
        <f t="shared" si="2"/>
        <v>61.471861471861466</v>
      </c>
    </row>
    <row r="14" spans="1:10" ht="29" x14ac:dyDescent="0.45">
      <c r="A14" s="22" t="s">
        <v>16</v>
      </c>
      <c r="B14" s="11">
        <v>5736</v>
      </c>
      <c r="C14" s="24">
        <v>2866</v>
      </c>
      <c r="D14" s="10">
        <f t="shared" si="0"/>
        <v>49.965132496513249</v>
      </c>
      <c r="E14" s="11">
        <v>5736</v>
      </c>
      <c r="F14" s="24">
        <v>1634</v>
      </c>
      <c r="G14" s="12">
        <f t="shared" si="1"/>
        <v>28.486750348675034</v>
      </c>
      <c r="H14" s="9">
        <v>6878</v>
      </c>
      <c r="I14" s="24">
        <v>1827</v>
      </c>
      <c r="J14" s="10">
        <f t="shared" si="2"/>
        <v>26.562954347193951</v>
      </c>
    </row>
    <row r="15" spans="1:10" ht="29" x14ac:dyDescent="0.45">
      <c r="A15" s="22" t="s">
        <v>4</v>
      </c>
      <c r="B15" s="11">
        <v>576</v>
      </c>
      <c r="C15" s="29">
        <v>253</v>
      </c>
      <c r="D15" s="10">
        <f t="shared" si="0"/>
        <v>43.923611111111107</v>
      </c>
      <c r="E15" s="11">
        <v>576</v>
      </c>
      <c r="F15" s="24">
        <v>232</v>
      </c>
      <c r="G15" s="12">
        <f t="shared" si="1"/>
        <v>40.277777777777779</v>
      </c>
      <c r="H15" s="9">
        <v>657</v>
      </c>
      <c r="I15" s="24">
        <v>309</v>
      </c>
      <c r="J15" s="10">
        <f t="shared" si="2"/>
        <v>47.031963470319631</v>
      </c>
    </row>
    <row r="16" spans="1:10" ht="16.5" x14ac:dyDescent="0.45">
      <c r="A16" s="22" t="s">
        <v>28</v>
      </c>
      <c r="B16" s="11">
        <v>137</v>
      </c>
      <c r="C16" s="24">
        <v>30</v>
      </c>
      <c r="D16" s="10">
        <f t="shared" si="0"/>
        <v>21.897810218978105</v>
      </c>
      <c r="E16" s="11">
        <v>137</v>
      </c>
      <c r="F16" s="24">
        <v>39</v>
      </c>
      <c r="G16" s="12">
        <f t="shared" si="1"/>
        <v>28.467153284671532</v>
      </c>
      <c r="H16" s="9">
        <v>184</v>
      </c>
      <c r="I16" s="24">
        <v>30</v>
      </c>
      <c r="J16" s="10">
        <f t="shared" si="2"/>
        <v>16.304347826086957</v>
      </c>
    </row>
    <row r="17" spans="1:10" ht="16.5" x14ac:dyDescent="0.45">
      <c r="A17" s="22" t="s">
        <v>36</v>
      </c>
      <c r="B17" s="11">
        <v>62</v>
      </c>
      <c r="C17" s="24">
        <v>9</v>
      </c>
      <c r="D17" s="10">
        <f t="shared" si="0"/>
        <v>14.516129032258066</v>
      </c>
      <c r="E17" s="11">
        <v>62</v>
      </c>
      <c r="F17" s="24">
        <v>26</v>
      </c>
      <c r="G17" s="12">
        <f t="shared" si="1"/>
        <v>41.935483870967744</v>
      </c>
      <c r="H17" s="9">
        <v>69</v>
      </c>
      <c r="I17" s="24">
        <v>33</v>
      </c>
      <c r="J17" s="10">
        <f t="shared" si="2"/>
        <v>47.826086956521742</v>
      </c>
    </row>
    <row r="18" spans="1:10" ht="16.5" x14ac:dyDescent="0.45">
      <c r="A18" s="22" t="s">
        <v>37</v>
      </c>
      <c r="B18" s="11">
        <v>62</v>
      </c>
      <c r="C18" s="24">
        <v>23</v>
      </c>
      <c r="D18" s="10">
        <f t="shared" si="0"/>
        <v>37.096774193548384</v>
      </c>
      <c r="E18" s="11">
        <v>62</v>
      </c>
      <c r="F18" s="24">
        <v>14</v>
      </c>
      <c r="G18" s="12">
        <f t="shared" si="1"/>
        <v>22.58064516129032</v>
      </c>
      <c r="H18" s="9">
        <v>75</v>
      </c>
      <c r="I18" s="24">
        <v>20</v>
      </c>
      <c r="J18" s="10">
        <f t="shared" si="2"/>
        <v>26.666666666666668</v>
      </c>
    </row>
    <row r="19" spans="1:10" ht="16.5" x14ac:dyDescent="0.45">
      <c r="A19" s="22" t="s">
        <v>17</v>
      </c>
      <c r="B19" s="11">
        <v>2230</v>
      </c>
      <c r="C19" s="24">
        <v>901</v>
      </c>
      <c r="D19" s="10">
        <f t="shared" si="0"/>
        <v>40.403587443946186</v>
      </c>
      <c r="E19" s="11">
        <v>2230</v>
      </c>
      <c r="F19" s="24">
        <v>1156</v>
      </c>
      <c r="G19" s="12">
        <f t="shared" si="1"/>
        <v>51.83856502242152</v>
      </c>
      <c r="H19" s="9">
        <v>2609</v>
      </c>
      <c r="I19" s="24">
        <v>1013</v>
      </c>
      <c r="J19" s="10">
        <f t="shared" si="2"/>
        <v>38.827136834036033</v>
      </c>
    </row>
    <row r="20" spans="1:10" ht="16.5" x14ac:dyDescent="0.45">
      <c r="A20" s="22" t="s">
        <v>18</v>
      </c>
      <c r="B20" s="11">
        <v>543</v>
      </c>
      <c r="C20" s="24">
        <v>303</v>
      </c>
      <c r="D20" s="10">
        <f t="shared" si="0"/>
        <v>55.80110497237569</v>
      </c>
      <c r="E20" s="11">
        <v>543</v>
      </c>
      <c r="F20" s="24">
        <v>312</v>
      </c>
      <c r="G20" s="12">
        <f t="shared" si="1"/>
        <v>57.458563535911601</v>
      </c>
      <c r="H20" s="9">
        <v>634</v>
      </c>
      <c r="I20" s="24">
        <v>349</v>
      </c>
      <c r="J20" s="10">
        <f t="shared" si="2"/>
        <v>55.047318611987386</v>
      </c>
    </row>
    <row r="21" spans="1:10" ht="16.5" x14ac:dyDescent="0.45">
      <c r="A21" s="22" t="s">
        <v>5</v>
      </c>
      <c r="B21" s="11">
        <v>1425</v>
      </c>
      <c r="C21" s="24">
        <v>619</v>
      </c>
      <c r="D21" s="10">
        <f t="shared" si="0"/>
        <v>43.438596491228068</v>
      </c>
      <c r="E21" s="11">
        <v>1425</v>
      </c>
      <c r="F21" s="24">
        <v>445</v>
      </c>
      <c r="G21" s="12">
        <f t="shared" si="1"/>
        <v>31.228070175438599</v>
      </c>
      <c r="H21" s="9">
        <v>1082</v>
      </c>
      <c r="I21" s="24">
        <v>653</v>
      </c>
      <c r="J21" s="10">
        <f t="shared" si="2"/>
        <v>60.351201478743064</v>
      </c>
    </row>
    <row r="22" spans="1:10" ht="16.5" x14ac:dyDescent="0.45">
      <c r="A22" s="22" t="s">
        <v>19</v>
      </c>
      <c r="B22" s="11">
        <v>284</v>
      </c>
      <c r="C22" s="24">
        <v>119</v>
      </c>
      <c r="D22" s="10">
        <f t="shared" si="0"/>
        <v>41.901408450704224</v>
      </c>
      <c r="E22" s="11">
        <v>284</v>
      </c>
      <c r="F22" s="24">
        <v>99</v>
      </c>
      <c r="G22" s="12">
        <f t="shared" si="1"/>
        <v>34.859154929577464</v>
      </c>
      <c r="H22" s="9">
        <v>376</v>
      </c>
      <c r="I22" s="24">
        <v>184</v>
      </c>
      <c r="J22" s="10">
        <f t="shared" si="2"/>
        <v>48.936170212765958</v>
      </c>
    </row>
    <row r="23" spans="1:10" ht="29" x14ac:dyDescent="0.45">
      <c r="A23" s="22" t="s">
        <v>6</v>
      </c>
      <c r="B23" s="11">
        <v>488</v>
      </c>
      <c r="C23" s="24">
        <v>115</v>
      </c>
      <c r="D23" s="10">
        <f t="shared" si="0"/>
        <v>23.565573770491806</v>
      </c>
      <c r="E23" s="11">
        <v>488</v>
      </c>
      <c r="F23" s="24">
        <v>109</v>
      </c>
      <c r="G23" s="12">
        <f t="shared" si="1"/>
        <v>22.33606557377049</v>
      </c>
      <c r="H23" s="9">
        <v>514</v>
      </c>
      <c r="I23" s="24">
        <v>172</v>
      </c>
      <c r="J23" s="10">
        <f t="shared" si="2"/>
        <v>33.463035019455248</v>
      </c>
    </row>
    <row r="24" spans="1:10" ht="16.5" x14ac:dyDescent="0.45">
      <c r="A24" s="22" t="s">
        <v>29</v>
      </c>
      <c r="B24" s="11">
        <v>443</v>
      </c>
      <c r="C24" s="24">
        <v>318</v>
      </c>
      <c r="D24" s="10">
        <f t="shared" si="0"/>
        <v>71.783295711060944</v>
      </c>
      <c r="E24" s="11">
        <v>443</v>
      </c>
      <c r="F24" s="24">
        <v>320</v>
      </c>
      <c r="G24" s="12">
        <f t="shared" si="1"/>
        <v>72.234762979683978</v>
      </c>
      <c r="H24" s="9">
        <v>425</v>
      </c>
      <c r="I24" s="24">
        <v>257</v>
      </c>
      <c r="J24" s="10">
        <f t="shared" si="2"/>
        <v>60.470588235294123</v>
      </c>
    </row>
    <row r="25" spans="1:10" ht="16.5" x14ac:dyDescent="0.45">
      <c r="A25" s="22" t="s">
        <v>38</v>
      </c>
      <c r="B25" s="11">
        <v>130</v>
      </c>
      <c r="C25" s="24">
        <v>32</v>
      </c>
      <c r="D25" s="10">
        <f t="shared" si="0"/>
        <v>24.615384615384617</v>
      </c>
      <c r="E25" s="11">
        <v>130</v>
      </c>
      <c r="F25" s="24">
        <v>24</v>
      </c>
      <c r="G25" s="12">
        <f t="shared" si="1"/>
        <v>18.461538461538463</v>
      </c>
      <c r="H25" s="9">
        <v>123</v>
      </c>
      <c r="I25" s="24">
        <v>54</v>
      </c>
      <c r="J25" s="10">
        <f t="shared" si="2"/>
        <v>43.902439024390247</v>
      </c>
    </row>
    <row r="26" spans="1:10" ht="16.5" x14ac:dyDescent="0.45">
      <c r="A26" s="22" t="s">
        <v>30</v>
      </c>
      <c r="B26" s="11">
        <v>99</v>
      </c>
      <c r="C26" s="24">
        <v>29</v>
      </c>
      <c r="D26" s="10">
        <f t="shared" si="0"/>
        <v>29.292929292929294</v>
      </c>
      <c r="E26" s="11">
        <v>99</v>
      </c>
      <c r="F26" s="24">
        <v>26</v>
      </c>
      <c r="G26" s="12">
        <f t="shared" si="1"/>
        <v>26.262626262626267</v>
      </c>
      <c r="H26" s="9">
        <v>95</v>
      </c>
      <c r="I26" s="24">
        <v>24</v>
      </c>
      <c r="J26" s="10">
        <f t="shared" si="2"/>
        <v>25.263157894736842</v>
      </c>
    </row>
    <row r="27" spans="1:10" ht="29" x14ac:dyDescent="0.45">
      <c r="A27" s="22" t="s">
        <v>7</v>
      </c>
      <c r="B27" s="11">
        <v>224</v>
      </c>
      <c r="C27" s="24">
        <v>63</v>
      </c>
      <c r="D27" s="10">
        <f t="shared" si="0"/>
        <v>28.125</v>
      </c>
      <c r="E27" s="11">
        <v>224</v>
      </c>
      <c r="F27" s="24">
        <v>99</v>
      </c>
      <c r="G27" s="12">
        <f t="shared" si="1"/>
        <v>44.196428571428569</v>
      </c>
      <c r="H27" s="9">
        <v>243</v>
      </c>
      <c r="I27" s="24">
        <v>190</v>
      </c>
      <c r="J27" s="10">
        <f t="shared" si="2"/>
        <v>78.189300411522638</v>
      </c>
    </row>
    <row r="28" spans="1:10" ht="29" x14ac:dyDescent="0.45">
      <c r="A28" s="22" t="s">
        <v>20</v>
      </c>
      <c r="B28" s="11">
        <v>220</v>
      </c>
      <c r="C28" s="24">
        <v>61</v>
      </c>
      <c r="D28" s="10">
        <f t="shared" si="0"/>
        <v>27.727272727272727</v>
      </c>
      <c r="E28" s="11">
        <v>220</v>
      </c>
      <c r="F28" s="24">
        <v>86</v>
      </c>
      <c r="G28" s="12">
        <f t="shared" si="1"/>
        <v>39.090909090909093</v>
      </c>
      <c r="H28" s="9">
        <v>212</v>
      </c>
      <c r="I28" s="24">
        <v>168</v>
      </c>
      <c r="J28" s="10">
        <f t="shared" si="2"/>
        <v>79.245283018867923</v>
      </c>
    </row>
    <row r="29" spans="1:10" ht="16.5" x14ac:dyDescent="0.45">
      <c r="A29" s="22" t="s">
        <v>8</v>
      </c>
      <c r="B29" s="11">
        <v>135</v>
      </c>
      <c r="C29" s="24">
        <v>72</v>
      </c>
      <c r="D29" s="10">
        <f t="shared" si="0"/>
        <v>53.333333333333336</v>
      </c>
      <c r="E29" s="11">
        <v>135</v>
      </c>
      <c r="F29" s="24">
        <v>48</v>
      </c>
      <c r="G29" s="12">
        <f t="shared" si="1"/>
        <v>35.555555555555557</v>
      </c>
      <c r="H29" s="9">
        <v>190</v>
      </c>
      <c r="I29" s="24">
        <v>95</v>
      </c>
      <c r="J29" s="10">
        <f t="shared" si="2"/>
        <v>50</v>
      </c>
    </row>
    <row r="30" spans="1:10" ht="29" x14ac:dyDescent="0.45">
      <c r="A30" s="22" t="s">
        <v>9</v>
      </c>
      <c r="B30" s="11">
        <v>1283</v>
      </c>
      <c r="C30" s="24">
        <v>312</v>
      </c>
      <c r="D30" s="10">
        <f t="shared" si="0"/>
        <v>24.318004676539363</v>
      </c>
      <c r="E30" s="11">
        <v>1283</v>
      </c>
      <c r="F30" s="24">
        <v>244</v>
      </c>
      <c r="G30" s="12">
        <f t="shared" si="1"/>
        <v>19.01792673421668</v>
      </c>
      <c r="H30" s="9">
        <v>1399</v>
      </c>
      <c r="I30" s="24">
        <v>365</v>
      </c>
      <c r="J30" s="10">
        <f t="shared" si="2"/>
        <v>26.090064331665474</v>
      </c>
    </row>
    <row r="31" spans="1:10" ht="16.5" x14ac:dyDescent="0.45">
      <c r="A31" s="22" t="s">
        <v>39</v>
      </c>
      <c r="B31" s="11">
        <v>259</v>
      </c>
      <c r="C31" s="24">
        <v>83</v>
      </c>
      <c r="D31" s="10">
        <f t="shared" si="0"/>
        <v>32.046332046332047</v>
      </c>
      <c r="E31" s="11">
        <v>259</v>
      </c>
      <c r="F31" s="24">
        <v>91</v>
      </c>
      <c r="G31" s="12">
        <f t="shared" si="1"/>
        <v>35.135135135135137</v>
      </c>
      <c r="H31" s="9">
        <v>208</v>
      </c>
      <c r="I31" s="24">
        <v>74</v>
      </c>
      <c r="J31" s="10">
        <f t="shared" si="2"/>
        <v>35.57692307692308</v>
      </c>
    </row>
    <row r="32" spans="1:10" ht="29" x14ac:dyDescent="0.45">
      <c r="A32" s="22" t="s">
        <v>40</v>
      </c>
      <c r="B32" s="11">
        <v>36</v>
      </c>
      <c r="C32" s="24">
        <v>5</v>
      </c>
      <c r="D32" s="10">
        <f t="shared" si="0"/>
        <v>13.888888888888889</v>
      </c>
      <c r="E32" s="11">
        <v>36</v>
      </c>
      <c r="F32" s="24">
        <v>4</v>
      </c>
      <c r="G32" s="12">
        <f t="shared" si="1"/>
        <v>11.111111111111111</v>
      </c>
      <c r="H32" s="9">
        <v>36</v>
      </c>
      <c r="I32" s="24">
        <v>13</v>
      </c>
      <c r="J32" s="10">
        <f t="shared" si="2"/>
        <v>36.111111111111107</v>
      </c>
    </row>
    <row r="33" spans="1:10" ht="16.5" x14ac:dyDescent="0.45">
      <c r="A33" s="22" t="s">
        <v>10</v>
      </c>
      <c r="B33" s="11">
        <v>581</v>
      </c>
      <c r="C33" s="24">
        <v>114</v>
      </c>
      <c r="D33" s="10">
        <f t="shared" si="0"/>
        <v>19.621342512908779</v>
      </c>
      <c r="E33" s="11">
        <v>581</v>
      </c>
      <c r="F33" s="24">
        <v>132</v>
      </c>
      <c r="G33" s="12">
        <f t="shared" si="1"/>
        <v>22.719449225473323</v>
      </c>
      <c r="H33" s="9">
        <v>608</v>
      </c>
      <c r="I33" s="24">
        <v>128</v>
      </c>
      <c r="J33" s="10">
        <f t="shared" si="2"/>
        <v>21.052631578947366</v>
      </c>
    </row>
    <row r="34" spans="1:10" ht="29" x14ac:dyDescent="0.45">
      <c r="A34" s="22" t="s">
        <v>41</v>
      </c>
      <c r="B34" s="11">
        <v>129</v>
      </c>
      <c r="C34" s="24">
        <v>48</v>
      </c>
      <c r="D34" s="10">
        <f t="shared" si="0"/>
        <v>37.209302325581397</v>
      </c>
      <c r="E34" s="11">
        <v>129</v>
      </c>
      <c r="F34" s="24">
        <v>77</v>
      </c>
      <c r="G34" s="12">
        <f t="shared" si="1"/>
        <v>59.689922480620147</v>
      </c>
      <c r="H34" s="9">
        <v>153</v>
      </c>
      <c r="I34" s="24">
        <v>73</v>
      </c>
      <c r="J34" s="10">
        <f t="shared" si="2"/>
        <v>47.712418300653596</v>
      </c>
    </row>
    <row r="35" spans="1:10" ht="29" x14ac:dyDescent="0.45">
      <c r="A35" s="22" t="s">
        <v>21</v>
      </c>
      <c r="B35" s="11">
        <v>228</v>
      </c>
      <c r="C35" s="24">
        <v>53</v>
      </c>
      <c r="D35" s="10">
        <f t="shared" si="0"/>
        <v>23.245614035087719</v>
      </c>
      <c r="E35" s="11">
        <v>228</v>
      </c>
      <c r="F35" s="24">
        <v>48</v>
      </c>
      <c r="G35" s="12">
        <f t="shared" si="1"/>
        <v>21.052631578947366</v>
      </c>
      <c r="H35" s="9">
        <v>219</v>
      </c>
      <c r="I35" s="24">
        <v>61</v>
      </c>
      <c r="J35" s="10">
        <f t="shared" si="2"/>
        <v>27.853881278538811</v>
      </c>
    </row>
    <row r="36" spans="1:10" ht="29" x14ac:dyDescent="0.45">
      <c r="A36" s="22" t="s">
        <v>22</v>
      </c>
      <c r="B36" s="11">
        <v>33</v>
      </c>
      <c r="C36" s="24">
        <v>28</v>
      </c>
      <c r="D36" s="10">
        <f t="shared" si="0"/>
        <v>84.848484848484844</v>
      </c>
      <c r="E36" s="11">
        <v>33</v>
      </c>
      <c r="F36" s="24">
        <v>11</v>
      </c>
      <c r="G36" s="12">
        <f t="shared" si="1"/>
        <v>33.333333333333329</v>
      </c>
      <c r="H36" s="9">
        <v>38</v>
      </c>
      <c r="I36" s="24">
        <v>11</v>
      </c>
      <c r="J36" s="10">
        <f t="shared" si="2"/>
        <v>28.947368421052634</v>
      </c>
    </row>
    <row r="37" spans="1:10" ht="29" x14ac:dyDescent="0.45">
      <c r="A37" s="22" t="s">
        <v>23</v>
      </c>
      <c r="B37" s="11">
        <v>38</v>
      </c>
      <c r="C37" s="24">
        <v>14</v>
      </c>
      <c r="D37" s="10">
        <f t="shared" si="0"/>
        <v>36.84210526315789</v>
      </c>
      <c r="E37" s="11">
        <v>38</v>
      </c>
      <c r="F37" s="24">
        <v>6</v>
      </c>
      <c r="G37" s="12">
        <f t="shared" si="1"/>
        <v>15.789473684210526</v>
      </c>
      <c r="H37" s="9">
        <v>41</v>
      </c>
      <c r="I37" s="24">
        <v>16</v>
      </c>
      <c r="J37" s="10">
        <f t="shared" si="2"/>
        <v>39.024390243902438</v>
      </c>
    </row>
    <row r="38" spans="1:10" ht="16.5" x14ac:dyDescent="0.45">
      <c r="A38" s="22" t="s">
        <v>24</v>
      </c>
      <c r="B38" s="11">
        <v>130</v>
      </c>
      <c r="C38" s="24">
        <v>20</v>
      </c>
      <c r="D38" s="10">
        <f t="shared" si="0"/>
        <v>15.384615384615385</v>
      </c>
      <c r="E38" s="11">
        <v>130</v>
      </c>
      <c r="F38" s="24">
        <v>42</v>
      </c>
      <c r="G38" s="12">
        <f t="shared" si="1"/>
        <v>32.307692307692307</v>
      </c>
      <c r="H38" s="9">
        <v>140</v>
      </c>
      <c r="I38" s="24">
        <v>51</v>
      </c>
      <c r="J38" s="10">
        <f t="shared" si="2"/>
        <v>36.428571428571423</v>
      </c>
    </row>
    <row r="39" spans="1:10" ht="43.5" x14ac:dyDescent="0.45">
      <c r="A39" s="22" t="s">
        <v>31</v>
      </c>
      <c r="B39" s="11">
        <v>1467</v>
      </c>
      <c r="C39" s="24">
        <v>355</v>
      </c>
      <c r="D39" s="10">
        <f t="shared" si="0"/>
        <v>24.199045671438309</v>
      </c>
      <c r="E39" s="11">
        <v>1467</v>
      </c>
      <c r="F39" s="24">
        <v>387</v>
      </c>
      <c r="G39" s="12">
        <f t="shared" si="1"/>
        <v>26.380368098159508</v>
      </c>
      <c r="H39" s="9">
        <v>1144</v>
      </c>
      <c r="I39" s="24">
        <v>277</v>
      </c>
      <c r="J39" s="10">
        <f t="shared" si="2"/>
        <v>24.213286713286713</v>
      </c>
    </row>
    <row r="40" spans="1:10" ht="16.5" x14ac:dyDescent="0.45">
      <c r="A40" s="22" t="s">
        <v>11</v>
      </c>
      <c r="B40" s="11">
        <v>166</v>
      </c>
      <c r="C40" s="24">
        <v>42</v>
      </c>
      <c r="D40" s="10">
        <f t="shared" si="0"/>
        <v>25.301204819277107</v>
      </c>
      <c r="E40" s="11">
        <v>166</v>
      </c>
      <c r="F40" s="24">
        <v>54</v>
      </c>
      <c r="G40" s="12">
        <f t="shared" si="1"/>
        <v>32.53012048192771</v>
      </c>
      <c r="H40" s="9">
        <v>177</v>
      </c>
      <c r="I40" s="24">
        <v>72</v>
      </c>
      <c r="J40" s="10">
        <f t="shared" si="2"/>
        <v>40.677966101694921</v>
      </c>
    </row>
    <row r="41" spans="1:10" ht="16.5" x14ac:dyDescent="0.45">
      <c r="A41" s="22" t="s">
        <v>12</v>
      </c>
      <c r="B41" s="11">
        <v>952</v>
      </c>
      <c r="C41" s="24">
        <v>125</v>
      </c>
      <c r="D41" s="10">
        <f t="shared" si="0"/>
        <v>13.130252100840337</v>
      </c>
      <c r="E41" s="11">
        <v>952</v>
      </c>
      <c r="F41" s="24">
        <v>118</v>
      </c>
      <c r="G41" s="12">
        <f t="shared" si="1"/>
        <v>12.394957983193278</v>
      </c>
      <c r="H41" s="9">
        <v>851</v>
      </c>
      <c r="I41" s="24">
        <v>235</v>
      </c>
      <c r="J41" s="10">
        <f t="shared" si="2"/>
        <v>27.614571092831962</v>
      </c>
    </row>
    <row r="42" spans="1:10" ht="29" x14ac:dyDescent="0.45">
      <c r="A42" s="22" t="s">
        <v>32</v>
      </c>
      <c r="B42" s="11">
        <v>30</v>
      </c>
      <c r="C42" s="24">
        <v>53</v>
      </c>
      <c r="D42" s="10">
        <f t="shared" si="0"/>
        <v>176.66666666666666</v>
      </c>
      <c r="E42" s="11">
        <v>30</v>
      </c>
      <c r="F42" s="24">
        <v>41</v>
      </c>
      <c r="G42" s="12">
        <f t="shared" si="1"/>
        <v>136.66666666666666</v>
      </c>
      <c r="H42" s="9">
        <v>50</v>
      </c>
      <c r="I42" s="24">
        <v>54</v>
      </c>
      <c r="J42" s="10">
        <f t="shared" si="2"/>
        <v>108</v>
      </c>
    </row>
    <row r="43" spans="1:10" ht="16.5" x14ac:dyDescent="0.45">
      <c r="A43" s="22" t="s">
        <v>25</v>
      </c>
      <c r="B43" s="11">
        <v>278</v>
      </c>
      <c r="C43" s="24">
        <v>159</v>
      </c>
      <c r="D43" s="10">
        <f t="shared" si="0"/>
        <v>57.194244604316545</v>
      </c>
      <c r="E43" s="11">
        <v>278</v>
      </c>
      <c r="F43" s="24">
        <v>169</v>
      </c>
      <c r="G43" s="12">
        <f t="shared" si="1"/>
        <v>60.791366906474821</v>
      </c>
      <c r="H43" s="9">
        <v>348</v>
      </c>
      <c r="I43" s="24">
        <v>237</v>
      </c>
      <c r="J43" s="10">
        <f t="shared" si="2"/>
        <v>68.103448275862064</v>
      </c>
    </row>
    <row r="44" spans="1:10" ht="16.5" x14ac:dyDescent="0.45">
      <c r="A44" s="22" t="s">
        <v>33</v>
      </c>
      <c r="B44" s="11">
        <v>112</v>
      </c>
      <c r="C44" s="24">
        <v>50</v>
      </c>
      <c r="D44" s="10">
        <f t="shared" si="0"/>
        <v>44.642857142857146</v>
      </c>
      <c r="E44" s="11">
        <v>112</v>
      </c>
      <c r="F44" s="24">
        <v>36</v>
      </c>
      <c r="G44" s="12">
        <f t="shared" si="1"/>
        <v>32.142857142857146</v>
      </c>
      <c r="H44" s="9">
        <v>133</v>
      </c>
      <c r="I44" s="24">
        <v>63</v>
      </c>
      <c r="J44" s="10">
        <f t="shared" si="2"/>
        <v>47.368421052631575</v>
      </c>
    </row>
    <row r="45" spans="1:10" ht="29" x14ac:dyDescent="0.45">
      <c r="A45" s="22" t="s">
        <v>13</v>
      </c>
      <c r="B45" s="11">
        <v>403</v>
      </c>
      <c r="C45" s="24">
        <v>250</v>
      </c>
      <c r="D45" s="10">
        <f t="shared" si="0"/>
        <v>62.034739454094293</v>
      </c>
      <c r="E45" s="11">
        <v>403</v>
      </c>
      <c r="F45" s="24">
        <v>168</v>
      </c>
      <c r="G45" s="12">
        <f t="shared" si="1"/>
        <v>41.687344913151364</v>
      </c>
      <c r="H45" s="9">
        <v>254</v>
      </c>
      <c r="I45" s="24">
        <v>477</v>
      </c>
      <c r="J45" s="10">
        <f t="shared" si="2"/>
        <v>187.79527559055117</v>
      </c>
    </row>
  </sheetData>
  <mergeCells count="7">
    <mergeCell ref="A1:J2"/>
    <mergeCell ref="A3:J3"/>
    <mergeCell ref="A4:J4"/>
    <mergeCell ref="A5:A6"/>
    <mergeCell ref="B5:D5"/>
    <mergeCell ref="E5:G5"/>
    <mergeCell ref="H5:J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4C4-5188-45AB-8B06-226D37628DC7}">
  <dimension ref="A1:J45"/>
  <sheetViews>
    <sheetView workbookViewId="0">
      <selection sqref="A1:J45"/>
    </sheetView>
  </sheetViews>
  <sheetFormatPr baseColWidth="10" defaultRowHeight="14.5" x14ac:dyDescent="0.35"/>
  <sheetData>
    <row r="1" spans="1:10" x14ac:dyDescent="0.35">
      <c r="A1" s="37" t="s">
        <v>58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8.5" x14ac:dyDescent="0.3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3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44" t="s">
        <v>2</v>
      </c>
      <c r="B5" s="46" t="s">
        <v>55</v>
      </c>
      <c r="C5" s="47"/>
      <c r="D5" s="48"/>
      <c r="E5" s="46" t="s">
        <v>56</v>
      </c>
      <c r="F5" s="47"/>
      <c r="G5" s="48"/>
      <c r="H5" s="46" t="s">
        <v>57</v>
      </c>
      <c r="I5" s="47"/>
      <c r="J5" s="48"/>
    </row>
    <row r="6" spans="1:10" ht="43.5" x14ac:dyDescent="0.35">
      <c r="A6" s="45"/>
      <c r="B6" s="5" t="s">
        <v>42</v>
      </c>
      <c r="C6" s="23" t="s">
        <v>45</v>
      </c>
      <c r="D6" s="28" t="s">
        <v>44</v>
      </c>
      <c r="E6" s="5" t="s">
        <v>42</v>
      </c>
      <c r="F6" s="23" t="s">
        <v>46</v>
      </c>
      <c r="G6" s="28" t="s">
        <v>44</v>
      </c>
      <c r="H6" s="5" t="s">
        <v>42</v>
      </c>
      <c r="I6" s="23" t="s">
        <v>43</v>
      </c>
      <c r="J6" s="5" t="s">
        <v>44</v>
      </c>
    </row>
    <row r="7" spans="1:10" ht="16.5" x14ac:dyDescent="0.45">
      <c r="A7" s="22" t="s">
        <v>26</v>
      </c>
      <c r="B7" s="11">
        <v>499</v>
      </c>
      <c r="C7" s="24">
        <v>185</v>
      </c>
      <c r="D7" s="10">
        <f t="shared" ref="D7:D45" si="0">SUM(C7/B7*100)</f>
        <v>37.074148296593187</v>
      </c>
      <c r="E7" s="11">
        <v>499</v>
      </c>
      <c r="F7" s="24">
        <v>131</v>
      </c>
      <c r="G7" s="12">
        <f t="shared" ref="G7:G45" si="1">SUM(F7/E7*100)</f>
        <v>26.252505010020037</v>
      </c>
      <c r="H7" s="9">
        <v>560</v>
      </c>
      <c r="I7" s="24">
        <v>189</v>
      </c>
      <c r="J7" s="10">
        <f t="shared" ref="J7:J45" si="2">SUM(I7/H7*100)</f>
        <v>33.75</v>
      </c>
    </row>
    <row r="8" spans="1:10" ht="16.5" x14ac:dyDescent="0.45">
      <c r="A8" s="22" t="s">
        <v>27</v>
      </c>
      <c r="B8" s="11">
        <v>54</v>
      </c>
      <c r="C8" s="24">
        <v>33</v>
      </c>
      <c r="D8" s="10">
        <f t="shared" si="0"/>
        <v>61.111111111111114</v>
      </c>
      <c r="E8" s="11">
        <v>54</v>
      </c>
      <c r="F8" s="24">
        <v>35</v>
      </c>
      <c r="G8" s="12">
        <f t="shared" si="1"/>
        <v>64.81481481481481</v>
      </c>
      <c r="H8" s="9">
        <v>51</v>
      </c>
      <c r="I8" s="24">
        <v>34</v>
      </c>
      <c r="J8" s="10">
        <f t="shared" si="2"/>
        <v>66.666666666666657</v>
      </c>
    </row>
    <row r="9" spans="1:10" ht="29" x14ac:dyDescent="0.45">
      <c r="A9" s="22" t="s">
        <v>34</v>
      </c>
      <c r="B9" s="11">
        <v>61</v>
      </c>
      <c r="C9" s="11">
        <v>23</v>
      </c>
      <c r="D9" s="10">
        <f t="shared" si="0"/>
        <v>37.704918032786885</v>
      </c>
      <c r="E9" s="11">
        <v>61</v>
      </c>
      <c r="F9" s="11">
        <v>24</v>
      </c>
      <c r="G9" s="12">
        <f t="shared" si="1"/>
        <v>39.344262295081968</v>
      </c>
      <c r="H9" s="11">
        <v>105</v>
      </c>
      <c r="I9" s="11">
        <v>32</v>
      </c>
      <c r="J9" s="10">
        <f t="shared" si="2"/>
        <v>30.476190476190478</v>
      </c>
    </row>
    <row r="10" spans="1:10" ht="16.5" x14ac:dyDescent="0.45">
      <c r="A10" s="22" t="s">
        <v>14</v>
      </c>
      <c r="B10" s="11">
        <v>643</v>
      </c>
      <c r="C10" s="24">
        <v>240</v>
      </c>
      <c r="D10" s="10">
        <f t="shared" si="0"/>
        <v>37.325038880248833</v>
      </c>
      <c r="E10" s="11">
        <v>643</v>
      </c>
      <c r="F10" s="24">
        <v>143</v>
      </c>
      <c r="G10" s="12">
        <f t="shared" si="1"/>
        <v>22.239502332814929</v>
      </c>
      <c r="H10" s="9">
        <v>843</v>
      </c>
      <c r="I10" s="24">
        <v>220</v>
      </c>
      <c r="J10" s="10">
        <f t="shared" si="2"/>
        <v>26.097271648873072</v>
      </c>
    </row>
    <row r="11" spans="1:10" ht="16.5" x14ac:dyDescent="0.45">
      <c r="A11" s="22" t="s">
        <v>3</v>
      </c>
      <c r="B11" s="11">
        <v>8431</v>
      </c>
      <c r="C11" s="25">
        <v>5240</v>
      </c>
      <c r="D11" s="10">
        <f t="shared" si="0"/>
        <v>62.151583442059064</v>
      </c>
      <c r="E11" s="11">
        <v>8431</v>
      </c>
      <c r="F11" s="27">
        <v>5729</v>
      </c>
      <c r="G11" s="12">
        <f t="shared" si="1"/>
        <v>67.951607164037469</v>
      </c>
      <c r="H11" s="8">
        <v>10719</v>
      </c>
      <c r="I11" s="27">
        <v>8107</v>
      </c>
      <c r="J11" s="10">
        <f t="shared" si="2"/>
        <v>75.632055229032559</v>
      </c>
    </row>
    <row r="12" spans="1:10" ht="16.5" x14ac:dyDescent="0.45">
      <c r="A12" s="22" t="s">
        <v>35</v>
      </c>
      <c r="B12" s="11">
        <v>117</v>
      </c>
      <c r="C12" s="24">
        <v>40</v>
      </c>
      <c r="D12" s="10">
        <f t="shared" si="0"/>
        <v>34.188034188034187</v>
      </c>
      <c r="E12" s="11">
        <v>117</v>
      </c>
      <c r="F12" s="24">
        <v>33</v>
      </c>
      <c r="G12" s="12">
        <f t="shared" si="1"/>
        <v>28.205128205128204</v>
      </c>
      <c r="H12" s="9">
        <v>64</v>
      </c>
      <c r="I12" s="24">
        <v>59</v>
      </c>
      <c r="J12" s="10">
        <f t="shared" si="2"/>
        <v>92.1875</v>
      </c>
    </row>
    <row r="13" spans="1:10" ht="43.5" x14ac:dyDescent="0.45">
      <c r="A13" s="22" t="s">
        <v>15</v>
      </c>
      <c r="B13" s="11">
        <v>236</v>
      </c>
      <c r="C13" s="24">
        <v>85</v>
      </c>
      <c r="D13" s="10">
        <f t="shared" si="0"/>
        <v>36.016949152542374</v>
      </c>
      <c r="E13" s="11">
        <v>236</v>
      </c>
      <c r="F13" s="24">
        <v>91</v>
      </c>
      <c r="G13" s="12">
        <f t="shared" si="1"/>
        <v>38.559322033898304</v>
      </c>
      <c r="H13" s="9">
        <v>231</v>
      </c>
      <c r="I13" s="24">
        <v>142</v>
      </c>
      <c r="J13" s="10">
        <f t="shared" si="2"/>
        <v>61.471861471861466</v>
      </c>
    </row>
    <row r="14" spans="1:10" ht="29" x14ac:dyDescent="0.45">
      <c r="A14" s="22" t="s">
        <v>16</v>
      </c>
      <c r="B14" s="11">
        <v>5736</v>
      </c>
      <c r="C14" s="24">
        <v>3173</v>
      </c>
      <c r="D14" s="10">
        <f t="shared" si="0"/>
        <v>55.317294281729424</v>
      </c>
      <c r="E14" s="11">
        <v>5736</v>
      </c>
      <c r="F14" s="24">
        <v>1765</v>
      </c>
      <c r="G14" s="12">
        <f t="shared" si="1"/>
        <v>30.770571827057182</v>
      </c>
      <c r="H14" s="9">
        <v>6878</v>
      </c>
      <c r="I14" s="24">
        <v>1879</v>
      </c>
      <c r="J14" s="10">
        <f t="shared" si="2"/>
        <v>27.318988077929628</v>
      </c>
    </row>
    <row r="15" spans="1:10" ht="29" x14ac:dyDescent="0.45">
      <c r="A15" s="22" t="s">
        <v>4</v>
      </c>
      <c r="B15" s="11">
        <v>576</v>
      </c>
      <c r="C15" s="29">
        <v>255</v>
      </c>
      <c r="D15" s="10">
        <f t="shared" si="0"/>
        <v>44.270833333333329</v>
      </c>
      <c r="E15" s="11">
        <v>576</v>
      </c>
      <c r="F15" s="24">
        <v>233</v>
      </c>
      <c r="G15" s="12">
        <f t="shared" si="1"/>
        <v>40.451388888888893</v>
      </c>
      <c r="H15" s="9">
        <v>657</v>
      </c>
      <c r="I15" s="24">
        <v>310</v>
      </c>
      <c r="J15" s="10">
        <f t="shared" si="2"/>
        <v>47.184170471841703</v>
      </c>
    </row>
    <row r="16" spans="1:10" ht="16.5" x14ac:dyDescent="0.45">
      <c r="A16" s="22" t="s">
        <v>28</v>
      </c>
      <c r="B16" s="11">
        <v>137</v>
      </c>
      <c r="C16" s="24">
        <v>36</v>
      </c>
      <c r="D16" s="10">
        <f t="shared" si="0"/>
        <v>26.277372262773724</v>
      </c>
      <c r="E16" s="11">
        <v>137</v>
      </c>
      <c r="F16" s="24">
        <v>39</v>
      </c>
      <c r="G16" s="12">
        <f t="shared" si="1"/>
        <v>28.467153284671532</v>
      </c>
      <c r="H16" s="9">
        <v>184</v>
      </c>
      <c r="I16" s="24">
        <v>32</v>
      </c>
      <c r="J16" s="10">
        <f t="shared" si="2"/>
        <v>17.391304347826086</v>
      </c>
    </row>
    <row r="17" spans="1:10" ht="16.5" x14ac:dyDescent="0.45">
      <c r="A17" s="22" t="s">
        <v>36</v>
      </c>
      <c r="B17" s="11">
        <v>62</v>
      </c>
      <c r="C17" s="24">
        <v>9</v>
      </c>
      <c r="D17" s="10">
        <f t="shared" si="0"/>
        <v>14.516129032258066</v>
      </c>
      <c r="E17" s="11">
        <v>62</v>
      </c>
      <c r="F17" s="24">
        <v>26</v>
      </c>
      <c r="G17" s="12">
        <f t="shared" si="1"/>
        <v>41.935483870967744</v>
      </c>
      <c r="H17" s="9">
        <v>69</v>
      </c>
      <c r="I17" s="24">
        <v>33</v>
      </c>
      <c r="J17" s="10">
        <f t="shared" si="2"/>
        <v>47.826086956521742</v>
      </c>
    </row>
    <row r="18" spans="1:10" ht="16.5" x14ac:dyDescent="0.45">
      <c r="A18" s="22" t="s">
        <v>37</v>
      </c>
      <c r="B18" s="11">
        <v>62</v>
      </c>
      <c r="C18" s="24">
        <v>23</v>
      </c>
      <c r="D18" s="10">
        <f t="shared" si="0"/>
        <v>37.096774193548384</v>
      </c>
      <c r="E18" s="11">
        <v>62</v>
      </c>
      <c r="F18" s="24">
        <v>14</v>
      </c>
      <c r="G18" s="12">
        <f t="shared" si="1"/>
        <v>22.58064516129032</v>
      </c>
      <c r="H18" s="9">
        <v>75</v>
      </c>
      <c r="I18" s="24">
        <v>20</v>
      </c>
      <c r="J18" s="10">
        <f t="shared" si="2"/>
        <v>26.666666666666668</v>
      </c>
    </row>
    <row r="19" spans="1:10" ht="16.5" x14ac:dyDescent="0.45">
      <c r="A19" s="22" t="s">
        <v>17</v>
      </c>
      <c r="B19" s="11">
        <v>2230</v>
      </c>
      <c r="C19" s="24">
        <v>1267</v>
      </c>
      <c r="D19" s="10">
        <f t="shared" si="0"/>
        <v>56.816143497757842</v>
      </c>
      <c r="E19" s="11">
        <v>2230</v>
      </c>
      <c r="F19" s="24">
        <v>1215</v>
      </c>
      <c r="G19" s="12">
        <f t="shared" si="1"/>
        <v>54.484304932735427</v>
      </c>
      <c r="H19" s="9">
        <v>2609</v>
      </c>
      <c r="I19" s="24">
        <v>1124</v>
      </c>
      <c r="J19" s="10">
        <f t="shared" si="2"/>
        <v>43.081640475277879</v>
      </c>
    </row>
    <row r="20" spans="1:10" ht="16.5" x14ac:dyDescent="0.45">
      <c r="A20" s="22" t="s">
        <v>18</v>
      </c>
      <c r="B20" s="11">
        <v>543</v>
      </c>
      <c r="C20" s="24">
        <v>305</v>
      </c>
      <c r="D20" s="10">
        <f t="shared" si="0"/>
        <v>56.169429097605892</v>
      </c>
      <c r="E20" s="11">
        <v>543</v>
      </c>
      <c r="F20" s="24">
        <v>313</v>
      </c>
      <c r="G20" s="12">
        <f t="shared" si="1"/>
        <v>57.642725598526702</v>
      </c>
      <c r="H20" s="9">
        <v>634</v>
      </c>
      <c r="I20" s="24">
        <v>350</v>
      </c>
      <c r="J20" s="10">
        <f t="shared" si="2"/>
        <v>55.205047318611989</v>
      </c>
    </row>
    <row r="21" spans="1:10" ht="16.5" x14ac:dyDescent="0.45">
      <c r="A21" s="22" t="s">
        <v>5</v>
      </c>
      <c r="B21" s="11">
        <v>1425</v>
      </c>
      <c r="C21" s="24">
        <v>650</v>
      </c>
      <c r="D21" s="10">
        <f t="shared" si="0"/>
        <v>45.614035087719294</v>
      </c>
      <c r="E21" s="11">
        <v>1425</v>
      </c>
      <c r="F21" s="24">
        <v>471</v>
      </c>
      <c r="G21" s="12">
        <f t="shared" si="1"/>
        <v>33.05263157894737</v>
      </c>
      <c r="H21" s="9">
        <v>1082</v>
      </c>
      <c r="I21" s="24">
        <v>684</v>
      </c>
      <c r="J21" s="10">
        <f t="shared" si="2"/>
        <v>63.216266173752309</v>
      </c>
    </row>
    <row r="22" spans="1:10" ht="16.5" x14ac:dyDescent="0.45">
      <c r="A22" s="22" t="s">
        <v>19</v>
      </c>
      <c r="B22" s="11">
        <v>284</v>
      </c>
      <c r="C22" s="24">
        <v>119</v>
      </c>
      <c r="D22" s="10">
        <f t="shared" si="0"/>
        <v>41.901408450704224</v>
      </c>
      <c r="E22" s="11">
        <v>284</v>
      </c>
      <c r="F22" s="24">
        <v>99</v>
      </c>
      <c r="G22" s="12">
        <f t="shared" si="1"/>
        <v>34.859154929577464</v>
      </c>
      <c r="H22" s="9">
        <v>376</v>
      </c>
      <c r="I22" s="24">
        <v>184</v>
      </c>
      <c r="J22" s="10">
        <f t="shared" si="2"/>
        <v>48.936170212765958</v>
      </c>
    </row>
    <row r="23" spans="1:10" ht="29" x14ac:dyDescent="0.45">
      <c r="A23" s="22" t="s">
        <v>6</v>
      </c>
      <c r="B23" s="11">
        <v>488</v>
      </c>
      <c r="C23" s="24">
        <v>118</v>
      </c>
      <c r="D23" s="10">
        <f t="shared" si="0"/>
        <v>24.180327868852459</v>
      </c>
      <c r="E23" s="11">
        <v>488</v>
      </c>
      <c r="F23" s="24">
        <v>111</v>
      </c>
      <c r="G23" s="12">
        <f t="shared" si="1"/>
        <v>22.745901639344261</v>
      </c>
      <c r="H23" s="9">
        <v>514</v>
      </c>
      <c r="I23" s="24">
        <v>175</v>
      </c>
      <c r="J23" s="10">
        <f t="shared" si="2"/>
        <v>34.046692607003891</v>
      </c>
    </row>
    <row r="24" spans="1:10" ht="16.5" x14ac:dyDescent="0.45">
      <c r="A24" s="22" t="s">
        <v>29</v>
      </c>
      <c r="B24" s="11">
        <v>443</v>
      </c>
      <c r="C24" s="24">
        <v>330</v>
      </c>
      <c r="D24" s="10">
        <f t="shared" si="0"/>
        <v>74.492099322799106</v>
      </c>
      <c r="E24" s="11">
        <v>443</v>
      </c>
      <c r="F24" s="24">
        <v>322</v>
      </c>
      <c r="G24" s="12">
        <f t="shared" si="1"/>
        <v>72.686230248306998</v>
      </c>
      <c r="H24" s="9">
        <v>425</v>
      </c>
      <c r="I24" s="24">
        <v>263</v>
      </c>
      <c r="J24" s="10">
        <f t="shared" si="2"/>
        <v>61.882352941176464</v>
      </c>
    </row>
    <row r="25" spans="1:10" ht="16.5" x14ac:dyDescent="0.45">
      <c r="A25" s="22" t="s">
        <v>38</v>
      </c>
      <c r="B25" s="11">
        <v>130</v>
      </c>
      <c r="C25" s="24">
        <v>32</v>
      </c>
      <c r="D25" s="10">
        <f t="shared" si="0"/>
        <v>24.615384615384617</v>
      </c>
      <c r="E25" s="11">
        <v>130</v>
      </c>
      <c r="F25" s="24">
        <v>26</v>
      </c>
      <c r="G25" s="12">
        <f t="shared" si="1"/>
        <v>20</v>
      </c>
      <c r="H25" s="9">
        <v>123</v>
      </c>
      <c r="I25" s="24">
        <v>57</v>
      </c>
      <c r="J25" s="10">
        <f t="shared" si="2"/>
        <v>46.341463414634148</v>
      </c>
    </row>
    <row r="26" spans="1:10" ht="16.5" x14ac:dyDescent="0.45">
      <c r="A26" s="22" t="s">
        <v>30</v>
      </c>
      <c r="B26" s="11">
        <v>99</v>
      </c>
      <c r="C26" s="24">
        <v>29</v>
      </c>
      <c r="D26" s="10">
        <f t="shared" si="0"/>
        <v>29.292929292929294</v>
      </c>
      <c r="E26" s="11">
        <v>99</v>
      </c>
      <c r="F26" s="24">
        <v>26</v>
      </c>
      <c r="G26" s="12">
        <f t="shared" si="1"/>
        <v>26.262626262626267</v>
      </c>
      <c r="H26" s="9">
        <v>95</v>
      </c>
      <c r="I26" s="24">
        <v>24</v>
      </c>
      <c r="J26" s="10">
        <f t="shared" si="2"/>
        <v>25.263157894736842</v>
      </c>
    </row>
    <row r="27" spans="1:10" ht="29" x14ac:dyDescent="0.45">
      <c r="A27" s="22" t="s">
        <v>7</v>
      </c>
      <c r="B27" s="11">
        <v>224</v>
      </c>
      <c r="C27" s="24">
        <v>64</v>
      </c>
      <c r="D27" s="10">
        <f t="shared" si="0"/>
        <v>28.571428571428569</v>
      </c>
      <c r="E27" s="11">
        <v>224</v>
      </c>
      <c r="F27" s="24">
        <v>101</v>
      </c>
      <c r="G27" s="12">
        <f t="shared" si="1"/>
        <v>45.089285714285715</v>
      </c>
      <c r="H27" s="9">
        <v>243</v>
      </c>
      <c r="I27" s="24">
        <v>190</v>
      </c>
      <c r="J27" s="10">
        <f t="shared" si="2"/>
        <v>78.189300411522638</v>
      </c>
    </row>
    <row r="28" spans="1:10" ht="29" x14ac:dyDescent="0.45">
      <c r="A28" s="22" t="s">
        <v>20</v>
      </c>
      <c r="B28" s="11">
        <v>220</v>
      </c>
      <c r="C28" s="24">
        <v>61</v>
      </c>
      <c r="D28" s="10">
        <f t="shared" si="0"/>
        <v>27.727272727272727</v>
      </c>
      <c r="E28" s="11">
        <v>220</v>
      </c>
      <c r="F28" s="24">
        <v>86</v>
      </c>
      <c r="G28" s="12">
        <f t="shared" si="1"/>
        <v>39.090909090909093</v>
      </c>
      <c r="H28" s="9">
        <v>212</v>
      </c>
      <c r="I28" s="24">
        <v>168</v>
      </c>
      <c r="J28" s="10">
        <f t="shared" si="2"/>
        <v>79.245283018867923</v>
      </c>
    </row>
    <row r="29" spans="1:10" ht="16.5" x14ac:dyDescent="0.45">
      <c r="A29" s="22" t="s">
        <v>8</v>
      </c>
      <c r="B29" s="11">
        <v>135</v>
      </c>
      <c r="C29" s="24">
        <v>76</v>
      </c>
      <c r="D29" s="10">
        <f t="shared" si="0"/>
        <v>56.296296296296298</v>
      </c>
      <c r="E29" s="11">
        <v>135</v>
      </c>
      <c r="F29" s="24">
        <v>48</v>
      </c>
      <c r="G29" s="12">
        <f t="shared" si="1"/>
        <v>35.555555555555557</v>
      </c>
      <c r="H29" s="9">
        <v>190</v>
      </c>
      <c r="I29" s="24">
        <v>97</v>
      </c>
      <c r="J29" s="10">
        <f t="shared" si="2"/>
        <v>51.05263157894737</v>
      </c>
    </row>
    <row r="30" spans="1:10" ht="29" x14ac:dyDescent="0.45">
      <c r="A30" s="22" t="s">
        <v>9</v>
      </c>
      <c r="B30" s="11">
        <v>1283</v>
      </c>
      <c r="C30" s="24">
        <v>348</v>
      </c>
      <c r="D30" s="10">
        <f t="shared" si="0"/>
        <v>27.12392829306313</v>
      </c>
      <c r="E30" s="11">
        <v>1283</v>
      </c>
      <c r="F30" s="24">
        <v>301</v>
      </c>
      <c r="G30" s="12">
        <f t="shared" si="1"/>
        <v>23.460639127045983</v>
      </c>
      <c r="H30" s="9">
        <v>1399</v>
      </c>
      <c r="I30" s="24">
        <v>432</v>
      </c>
      <c r="J30" s="10">
        <f t="shared" si="2"/>
        <v>30.879199428162973</v>
      </c>
    </row>
    <row r="31" spans="1:10" ht="16.5" x14ac:dyDescent="0.45">
      <c r="A31" s="22" t="s">
        <v>39</v>
      </c>
      <c r="B31" s="11">
        <v>259</v>
      </c>
      <c r="C31" s="24">
        <v>84</v>
      </c>
      <c r="D31" s="10">
        <f t="shared" si="0"/>
        <v>32.432432432432435</v>
      </c>
      <c r="E31" s="11">
        <v>259</v>
      </c>
      <c r="F31" s="24">
        <v>95</v>
      </c>
      <c r="G31" s="12">
        <f t="shared" si="1"/>
        <v>36.679536679536682</v>
      </c>
      <c r="H31" s="9">
        <v>208</v>
      </c>
      <c r="I31" s="24">
        <v>74</v>
      </c>
      <c r="J31" s="10">
        <f t="shared" si="2"/>
        <v>35.57692307692308</v>
      </c>
    </row>
    <row r="32" spans="1:10" ht="29" x14ac:dyDescent="0.45">
      <c r="A32" s="22" t="s">
        <v>40</v>
      </c>
      <c r="B32" s="11">
        <v>36</v>
      </c>
      <c r="C32" s="24">
        <v>5</v>
      </c>
      <c r="D32" s="10">
        <f t="shared" si="0"/>
        <v>13.888888888888889</v>
      </c>
      <c r="E32" s="11">
        <v>36</v>
      </c>
      <c r="F32" s="24">
        <v>4</v>
      </c>
      <c r="G32" s="12">
        <f t="shared" si="1"/>
        <v>11.111111111111111</v>
      </c>
      <c r="H32" s="9">
        <v>36</v>
      </c>
      <c r="I32" s="24">
        <v>13</v>
      </c>
      <c r="J32" s="10">
        <f t="shared" si="2"/>
        <v>36.111111111111107</v>
      </c>
    </row>
    <row r="33" spans="1:10" ht="16.5" x14ac:dyDescent="0.45">
      <c r="A33" s="22" t="s">
        <v>10</v>
      </c>
      <c r="B33" s="11">
        <v>581</v>
      </c>
      <c r="C33" s="24">
        <v>144</v>
      </c>
      <c r="D33" s="10">
        <f t="shared" si="0"/>
        <v>24.784853700516351</v>
      </c>
      <c r="E33" s="11">
        <v>581</v>
      </c>
      <c r="F33" s="24">
        <v>163</v>
      </c>
      <c r="G33" s="12">
        <f t="shared" si="1"/>
        <v>28.055077452667813</v>
      </c>
      <c r="H33" s="9">
        <v>608</v>
      </c>
      <c r="I33" s="24">
        <v>156</v>
      </c>
      <c r="J33" s="10">
        <f t="shared" si="2"/>
        <v>25.657894736842106</v>
      </c>
    </row>
    <row r="34" spans="1:10" ht="29" x14ac:dyDescent="0.45">
      <c r="A34" s="22" t="s">
        <v>41</v>
      </c>
      <c r="B34" s="11">
        <v>129</v>
      </c>
      <c r="C34" s="24">
        <v>49</v>
      </c>
      <c r="D34" s="10">
        <f t="shared" si="0"/>
        <v>37.984496124031011</v>
      </c>
      <c r="E34" s="11">
        <v>129</v>
      </c>
      <c r="F34" s="24">
        <v>77</v>
      </c>
      <c r="G34" s="12">
        <f t="shared" si="1"/>
        <v>59.689922480620147</v>
      </c>
      <c r="H34" s="9">
        <v>153</v>
      </c>
      <c r="I34" s="24">
        <v>77</v>
      </c>
      <c r="J34" s="10">
        <f t="shared" si="2"/>
        <v>50.326797385620914</v>
      </c>
    </row>
    <row r="35" spans="1:10" ht="29" x14ac:dyDescent="0.45">
      <c r="A35" s="22" t="s">
        <v>21</v>
      </c>
      <c r="B35" s="11">
        <v>228</v>
      </c>
      <c r="C35" s="24">
        <v>53</v>
      </c>
      <c r="D35" s="10">
        <f t="shared" si="0"/>
        <v>23.245614035087719</v>
      </c>
      <c r="E35" s="11">
        <v>228</v>
      </c>
      <c r="F35" s="24">
        <v>48</v>
      </c>
      <c r="G35" s="12">
        <f t="shared" si="1"/>
        <v>21.052631578947366</v>
      </c>
      <c r="H35" s="9">
        <v>219</v>
      </c>
      <c r="I35" s="24">
        <v>61</v>
      </c>
      <c r="J35" s="10">
        <f t="shared" si="2"/>
        <v>27.853881278538811</v>
      </c>
    </row>
    <row r="36" spans="1:10" ht="29" x14ac:dyDescent="0.45">
      <c r="A36" s="22" t="s">
        <v>22</v>
      </c>
      <c r="B36" s="11">
        <v>33</v>
      </c>
      <c r="C36" s="24">
        <v>28</v>
      </c>
      <c r="D36" s="10">
        <f t="shared" si="0"/>
        <v>84.848484848484844</v>
      </c>
      <c r="E36" s="11">
        <v>33</v>
      </c>
      <c r="F36" s="24">
        <v>11</v>
      </c>
      <c r="G36" s="12">
        <f t="shared" si="1"/>
        <v>33.333333333333329</v>
      </c>
      <c r="H36" s="9">
        <v>38</v>
      </c>
      <c r="I36" s="24">
        <v>11</v>
      </c>
      <c r="J36" s="10">
        <f t="shared" si="2"/>
        <v>28.947368421052634</v>
      </c>
    </row>
    <row r="37" spans="1:10" ht="29" x14ac:dyDescent="0.45">
      <c r="A37" s="22" t="s">
        <v>23</v>
      </c>
      <c r="B37" s="11">
        <v>38</v>
      </c>
      <c r="C37" s="24">
        <v>14</v>
      </c>
      <c r="D37" s="10">
        <f t="shared" si="0"/>
        <v>36.84210526315789</v>
      </c>
      <c r="E37" s="11">
        <v>38</v>
      </c>
      <c r="F37" s="24">
        <v>6</v>
      </c>
      <c r="G37" s="12">
        <f t="shared" si="1"/>
        <v>15.789473684210526</v>
      </c>
      <c r="H37" s="9">
        <v>41</v>
      </c>
      <c r="I37" s="24">
        <v>16</v>
      </c>
      <c r="J37" s="10">
        <f t="shared" si="2"/>
        <v>39.024390243902438</v>
      </c>
    </row>
    <row r="38" spans="1:10" ht="16.5" x14ac:dyDescent="0.45">
      <c r="A38" s="22" t="s">
        <v>24</v>
      </c>
      <c r="B38" s="11">
        <v>130</v>
      </c>
      <c r="C38" s="24">
        <v>20</v>
      </c>
      <c r="D38" s="10">
        <f t="shared" si="0"/>
        <v>15.384615384615385</v>
      </c>
      <c r="E38" s="11">
        <v>130</v>
      </c>
      <c r="F38" s="24">
        <v>42</v>
      </c>
      <c r="G38" s="12">
        <f t="shared" si="1"/>
        <v>32.307692307692307</v>
      </c>
      <c r="H38" s="9">
        <v>140</v>
      </c>
      <c r="I38" s="24">
        <v>51</v>
      </c>
      <c r="J38" s="10">
        <f t="shared" si="2"/>
        <v>36.428571428571423</v>
      </c>
    </row>
    <row r="39" spans="1:10" ht="43.5" x14ac:dyDescent="0.45">
      <c r="A39" s="22" t="s">
        <v>31</v>
      </c>
      <c r="B39" s="11">
        <v>1467</v>
      </c>
      <c r="C39" s="24">
        <v>386</v>
      </c>
      <c r="D39" s="10">
        <f t="shared" si="0"/>
        <v>26.312201772324471</v>
      </c>
      <c r="E39" s="11">
        <v>1467</v>
      </c>
      <c r="F39" s="24">
        <v>419</v>
      </c>
      <c r="G39" s="12">
        <f t="shared" si="1"/>
        <v>28.561690524880706</v>
      </c>
      <c r="H39" s="9">
        <v>1144</v>
      </c>
      <c r="I39" s="24">
        <v>312</v>
      </c>
      <c r="J39" s="10">
        <f t="shared" si="2"/>
        <v>27.27272727272727</v>
      </c>
    </row>
    <row r="40" spans="1:10" ht="16.5" x14ac:dyDescent="0.45">
      <c r="A40" s="22" t="s">
        <v>11</v>
      </c>
      <c r="B40" s="11">
        <v>166</v>
      </c>
      <c r="C40" s="24">
        <v>43</v>
      </c>
      <c r="D40" s="10">
        <f t="shared" si="0"/>
        <v>25.903614457831324</v>
      </c>
      <c r="E40" s="11">
        <v>166</v>
      </c>
      <c r="F40" s="24">
        <v>57</v>
      </c>
      <c r="G40" s="12">
        <f t="shared" si="1"/>
        <v>34.337349397590359</v>
      </c>
      <c r="H40" s="9">
        <v>177</v>
      </c>
      <c r="I40" s="24">
        <v>72</v>
      </c>
      <c r="J40" s="10">
        <f t="shared" si="2"/>
        <v>40.677966101694921</v>
      </c>
    </row>
    <row r="41" spans="1:10" ht="16.5" x14ac:dyDescent="0.45">
      <c r="A41" s="22" t="s">
        <v>12</v>
      </c>
      <c r="B41" s="11">
        <v>952</v>
      </c>
      <c r="C41" s="24">
        <v>132</v>
      </c>
      <c r="D41" s="10">
        <f t="shared" si="0"/>
        <v>13.865546218487395</v>
      </c>
      <c r="E41" s="11">
        <v>952</v>
      </c>
      <c r="F41" s="24">
        <v>120</v>
      </c>
      <c r="G41" s="12">
        <f t="shared" si="1"/>
        <v>12.605042016806722</v>
      </c>
      <c r="H41" s="9">
        <v>851</v>
      </c>
      <c r="I41" s="24">
        <v>148</v>
      </c>
      <c r="J41" s="10">
        <f t="shared" si="2"/>
        <v>17.391304347826086</v>
      </c>
    </row>
    <row r="42" spans="1:10" ht="29" x14ac:dyDescent="0.45">
      <c r="A42" s="22" t="s">
        <v>32</v>
      </c>
      <c r="B42" s="11">
        <v>30</v>
      </c>
      <c r="C42" s="24">
        <v>55</v>
      </c>
      <c r="D42" s="10">
        <f t="shared" si="0"/>
        <v>183.33333333333331</v>
      </c>
      <c r="E42" s="11">
        <v>30</v>
      </c>
      <c r="F42" s="24">
        <v>41</v>
      </c>
      <c r="G42" s="12">
        <f t="shared" si="1"/>
        <v>136.66666666666666</v>
      </c>
      <c r="H42" s="9">
        <v>50</v>
      </c>
      <c r="I42" s="24">
        <v>56</v>
      </c>
      <c r="J42" s="10">
        <f t="shared" si="2"/>
        <v>112.00000000000001</v>
      </c>
    </row>
    <row r="43" spans="1:10" ht="16.5" x14ac:dyDescent="0.45">
      <c r="A43" s="22" t="s">
        <v>25</v>
      </c>
      <c r="B43" s="11">
        <v>278</v>
      </c>
      <c r="C43" s="24">
        <v>159</v>
      </c>
      <c r="D43" s="10">
        <f t="shared" si="0"/>
        <v>57.194244604316545</v>
      </c>
      <c r="E43" s="11">
        <v>278</v>
      </c>
      <c r="F43" s="24">
        <v>169</v>
      </c>
      <c r="G43" s="12">
        <f t="shared" si="1"/>
        <v>60.791366906474821</v>
      </c>
      <c r="H43" s="9">
        <v>348</v>
      </c>
      <c r="I43" s="24">
        <v>237</v>
      </c>
      <c r="J43" s="10">
        <f t="shared" si="2"/>
        <v>68.103448275862064</v>
      </c>
    </row>
    <row r="44" spans="1:10" ht="16.5" x14ac:dyDescent="0.45">
      <c r="A44" s="22" t="s">
        <v>33</v>
      </c>
      <c r="B44" s="11">
        <v>112</v>
      </c>
      <c r="C44" s="24">
        <v>51</v>
      </c>
      <c r="D44" s="10">
        <f t="shared" si="0"/>
        <v>45.535714285714285</v>
      </c>
      <c r="E44" s="11">
        <v>112</v>
      </c>
      <c r="F44" s="24">
        <v>36</v>
      </c>
      <c r="G44" s="12">
        <f t="shared" si="1"/>
        <v>32.142857142857146</v>
      </c>
      <c r="H44" s="9">
        <v>133</v>
      </c>
      <c r="I44" s="24">
        <v>63</v>
      </c>
      <c r="J44" s="10">
        <f t="shared" si="2"/>
        <v>47.368421052631575</v>
      </c>
    </row>
    <row r="45" spans="1:10" ht="29" x14ac:dyDescent="0.45">
      <c r="A45" s="22" t="s">
        <v>13</v>
      </c>
      <c r="B45" s="11">
        <v>403</v>
      </c>
      <c r="C45" s="24">
        <v>252</v>
      </c>
      <c r="D45" s="10">
        <f t="shared" si="0"/>
        <v>62.531017369727046</v>
      </c>
      <c r="E45" s="11">
        <v>403</v>
      </c>
      <c r="F45" s="24">
        <v>172</v>
      </c>
      <c r="G45" s="12">
        <f t="shared" si="1"/>
        <v>42.679900744416869</v>
      </c>
      <c r="H45" s="9">
        <v>254</v>
      </c>
      <c r="I45" s="24">
        <v>481</v>
      </c>
      <c r="J45" s="10">
        <f t="shared" si="2"/>
        <v>189.37007874015748</v>
      </c>
    </row>
  </sheetData>
  <mergeCells count="7">
    <mergeCell ref="A1:J2"/>
    <mergeCell ref="A3:J3"/>
    <mergeCell ref="A4:J4"/>
    <mergeCell ref="A5:A6"/>
    <mergeCell ref="B5:D5"/>
    <mergeCell ref="E5:G5"/>
    <mergeCell ref="H5:J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0662-EC00-43C9-A358-7BFADC15882A}">
  <dimension ref="A1:J45"/>
  <sheetViews>
    <sheetView workbookViewId="0">
      <selection sqref="A1:J45"/>
    </sheetView>
  </sheetViews>
  <sheetFormatPr baseColWidth="10" defaultRowHeight="14.5" x14ac:dyDescent="0.35"/>
  <sheetData>
    <row r="1" spans="1:10" x14ac:dyDescent="0.35">
      <c r="A1" s="37" t="s">
        <v>58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8.5" x14ac:dyDescent="0.3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3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44" t="s">
        <v>2</v>
      </c>
      <c r="B5" s="46" t="s">
        <v>55</v>
      </c>
      <c r="C5" s="47"/>
      <c r="D5" s="48"/>
      <c r="E5" s="46" t="s">
        <v>56</v>
      </c>
      <c r="F5" s="47"/>
      <c r="G5" s="48"/>
      <c r="H5" s="46" t="s">
        <v>57</v>
      </c>
      <c r="I5" s="47"/>
      <c r="J5" s="48"/>
    </row>
    <row r="6" spans="1:10" ht="43.5" x14ac:dyDescent="0.35">
      <c r="A6" s="45"/>
      <c r="B6" s="5" t="s">
        <v>42</v>
      </c>
      <c r="C6" s="23" t="s">
        <v>45</v>
      </c>
      <c r="D6" s="30" t="s">
        <v>44</v>
      </c>
      <c r="E6" s="5" t="s">
        <v>42</v>
      </c>
      <c r="F6" s="23" t="s">
        <v>46</v>
      </c>
      <c r="G6" s="30" t="s">
        <v>44</v>
      </c>
      <c r="H6" s="5" t="s">
        <v>42</v>
      </c>
      <c r="I6" s="23" t="s">
        <v>43</v>
      </c>
      <c r="J6" s="5" t="s">
        <v>44</v>
      </c>
    </row>
    <row r="7" spans="1:10" ht="16.5" x14ac:dyDescent="0.45">
      <c r="A7" s="22" t="s">
        <v>26</v>
      </c>
      <c r="B7" s="11">
        <v>499</v>
      </c>
      <c r="C7" s="24">
        <v>194</v>
      </c>
      <c r="D7" s="10">
        <f t="shared" ref="D7:D45" si="0">SUM(C7/B7*100)</f>
        <v>38.877755511022045</v>
      </c>
      <c r="E7" s="11">
        <v>499</v>
      </c>
      <c r="F7" s="24">
        <v>140</v>
      </c>
      <c r="G7" s="12">
        <f t="shared" ref="G7:G45" si="1">SUM(F7/E7*100)</f>
        <v>28.056112224448899</v>
      </c>
      <c r="H7" s="9">
        <v>560</v>
      </c>
      <c r="I7" s="24">
        <v>191</v>
      </c>
      <c r="J7" s="10">
        <f t="shared" ref="J7:J45" si="2">SUM(I7/H7*100)</f>
        <v>34.107142857142861</v>
      </c>
    </row>
    <row r="8" spans="1:10" ht="16.5" x14ac:dyDescent="0.45">
      <c r="A8" s="22" t="s">
        <v>27</v>
      </c>
      <c r="B8" s="11">
        <v>54</v>
      </c>
      <c r="C8" s="24">
        <v>35</v>
      </c>
      <c r="D8" s="10">
        <f t="shared" si="0"/>
        <v>64.81481481481481</v>
      </c>
      <c r="E8" s="11">
        <v>54</v>
      </c>
      <c r="F8" s="24">
        <v>37</v>
      </c>
      <c r="G8" s="12">
        <f t="shared" si="1"/>
        <v>68.518518518518519</v>
      </c>
      <c r="H8" s="9">
        <v>51</v>
      </c>
      <c r="I8" s="24">
        <v>40</v>
      </c>
      <c r="J8" s="10">
        <f t="shared" si="2"/>
        <v>78.431372549019613</v>
      </c>
    </row>
    <row r="9" spans="1:10" ht="29" x14ac:dyDescent="0.45">
      <c r="A9" s="22" t="s">
        <v>34</v>
      </c>
      <c r="B9" s="11">
        <v>61</v>
      </c>
      <c r="C9" s="24">
        <v>28</v>
      </c>
      <c r="D9" s="10">
        <f t="shared" si="0"/>
        <v>45.901639344262293</v>
      </c>
      <c r="E9" s="11">
        <v>61</v>
      </c>
      <c r="F9" s="24">
        <v>24</v>
      </c>
      <c r="G9" s="12">
        <f t="shared" si="1"/>
        <v>39.344262295081968</v>
      </c>
      <c r="H9" s="11">
        <v>105</v>
      </c>
      <c r="I9" s="24">
        <v>33</v>
      </c>
      <c r="J9" s="10">
        <f t="shared" si="2"/>
        <v>31.428571428571427</v>
      </c>
    </row>
    <row r="10" spans="1:10" ht="16.5" x14ac:dyDescent="0.45">
      <c r="A10" s="22" t="s">
        <v>14</v>
      </c>
      <c r="B10" s="11">
        <v>643</v>
      </c>
      <c r="C10" s="24">
        <v>251</v>
      </c>
      <c r="D10" s="10">
        <f t="shared" si="0"/>
        <v>39.035769828926902</v>
      </c>
      <c r="E10" s="11">
        <v>643</v>
      </c>
      <c r="F10" s="24">
        <v>149</v>
      </c>
      <c r="G10" s="12">
        <f t="shared" si="1"/>
        <v>23.172628304821149</v>
      </c>
      <c r="H10" s="9">
        <v>843</v>
      </c>
      <c r="I10" s="24">
        <v>238</v>
      </c>
      <c r="J10" s="10">
        <f t="shared" si="2"/>
        <v>28.23250296559905</v>
      </c>
    </row>
    <row r="11" spans="1:10" ht="16.5" x14ac:dyDescent="0.45">
      <c r="A11" s="22" t="s">
        <v>3</v>
      </c>
      <c r="B11" s="11">
        <v>8431</v>
      </c>
      <c r="C11" s="25">
        <v>5514</v>
      </c>
      <c r="D11" s="10">
        <f t="shared" si="0"/>
        <v>65.401494484640025</v>
      </c>
      <c r="E11" s="11">
        <v>8431</v>
      </c>
      <c r="F11" s="27">
        <v>5824</v>
      </c>
      <c r="G11" s="12">
        <f t="shared" si="1"/>
        <v>69.078401138654968</v>
      </c>
      <c r="H11" s="8">
        <v>10719</v>
      </c>
      <c r="I11" s="27">
        <v>8196</v>
      </c>
      <c r="J11" s="10">
        <f t="shared" si="2"/>
        <v>76.462356563112237</v>
      </c>
    </row>
    <row r="12" spans="1:10" ht="16.5" x14ac:dyDescent="0.45">
      <c r="A12" s="22" t="s">
        <v>35</v>
      </c>
      <c r="B12" s="11">
        <v>117</v>
      </c>
      <c r="C12" s="24">
        <v>44</v>
      </c>
      <c r="D12" s="10">
        <f t="shared" si="0"/>
        <v>37.606837606837608</v>
      </c>
      <c r="E12" s="11">
        <v>117</v>
      </c>
      <c r="F12" s="24">
        <v>35</v>
      </c>
      <c r="G12" s="12">
        <f t="shared" si="1"/>
        <v>29.914529914529915</v>
      </c>
      <c r="H12" s="9">
        <v>64</v>
      </c>
      <c r="I12" s="24">
        <v>66</v>
      </c>
      <c r="J12" s="10">
        <f t="shared" si="2"/>
        <v>103.125</v>
      </c>
    </row>
    <row r="13" spans="1:10" ht="43.5" x14ac:dyDescent="0.45">
      <c r="A13" s="22" t="s">
        <v>15</v>
      </c>
      <c r="B13" s="11">
        <v>236</v>
      </c>
      <c r="C13" s="24">
        <v>90</v>
      </c>
      <c r="D13" s="10">
        <f t="shared" si="0"/>
        <v>38.135593220338983</v>
      </c>
      <c r="E13" s="11">
        <v>236</v>
      </c>
      <c r="F13" s="24">
        <v>100</v>
      </c>
      <c r="G13" s="12">
        <f t="shared" si="1"/>
        <v>42.372881355932201</v>
      </c>
      <c r="H13" s="9">
        <v>231</v>
      </c>
      <c r="I13" s="24">
        <v>149</v>
      </c>
      <c r="J13" s="10">
        <f t="shared" si="2"/>
        <v>64.502164502164504</v>
      </c>
    </row>
    <row r="14" spans="1:10" ht="29" x14ac:dyDescent="0.45">
      <c r="A14" s="22" t="s">
        <v>16</v>
      </c>
      <c r="B14" s="11">
        <v>5736</v>
      </c>
      <c r="C14" s="24">
        <v>3386</v>
      </c>
      <c r="D14" s="10">
        <f t="shared" si="0"/>
        <v>59.030683403068338</v>
      </c>
      <c r="E14" s="11">
        <v>5736</v>
      </c>
      <c r="F14" s="24">
        <v>1810</v>
      </c>
      <c r="G14" s="12">
        <f t="shared" si="1"/>
        <v>31.555090655509066</v>
      </c>
      <c r="H14" s="9">
        <v>6878</v>
      </c>
      <c r="I14" s="24">
        <v>1938</v>
      </c>
      <c r="J14" s="10">
        <f t="shared" si="2"/>
        <v>28.176795580110497</v>
      </c>
    </row>
    <row r="15" spans="1:10" ht="29" x14ac:dyDescent="0.45">
      <c r="A15" s="22" t="s">
        <v>4</v>
      </c>
      <c r="B15" s="11">
        <v>576</v>
      </c>
      <c r="C15" s="29">
        <v>259</v>
      </c>
      <c r="D15" s="10">
        <f t="shared" si="0"/>
        <v>44.965277777777779</v>
      </c>
      <c r="E15" s="11">
        <v>576</v>
      </c>
      <c r="F15" s="24">
        <v>234</v>
      </c>
      <c r="G15" s="12">
        <f t="shared" si="1"/>
        <v>40.625</v>
      </c>
      <c r="H15" s="9">
        <v>657</v>
      </c>
      <c r="I15" s="24">
        <v>315</v>
      </c>
      <c r="J15" s="10">
        <f t="shared" si="2"/>
        <v>47.945205479452049</v>
      </c>
    </row>
    <row r="16" spans="1:10" ht="16.5" x14ac:dyDescent="0.45">
      <c r="A16" s="22" t="s">
        <v>28</v>
      </c>
      <c r="B16" s="11">
        <v>137</v>
      </c>
      <c r="C16" s="24">
        <v>36</v>
      </c>
      <c r="D16" s="10">
        <f t="shared" si="0"/>
        <v>26.277372262773724</v>
      </c>
      <c r="E16" s="11">
        <v>137</v>
      </c>
      <c r="F16" s="24">
        <v>40</v>
      </c>
      <c r="G16" s="12">
        <f t="shared" si="1"/>
        <v>29.197080291970799</v>
      </c>
      <c r="H16" s="9">
        <v>184</v>
      </c>
      <c r="I16" s="24">
        <v>33</v>
      </c>
      <c r="J16" s="10">
        <f t="shared" si="2"/>
        <v>17.934782608695652</v>
      </c>
    </row>
    <row r="17" spans="1:10" ht="16.5" x14ac:dyDescent="0.45">
      <c r="A17" s="22" t="s">
        <v>36</v>
      </c>
      <c r="B17" s="11">
        <v>62</v>
      </c>
      <c r="C17" s="24">
        <v>9</v>
      </c>
      <c r="D17" s="10">
        <f t="shared" si="0"/>
        <v>14.516129032258066</v>
      </c>
      <c r="E17" s="11">
        <v>62</v>
      </c>
      <c r="F17" s="24">
        <v>26</v>
      </c>
      <c r="G17" s="12">
        <f t="shared" si="1"/>
        <v>41.935483870967744</v>
      </c>
      <c r="H17" s="9">
        <v>69</v>
      </c>
      <c r="I17" s="24">
        <v>33</v>
      </c>
      <c r="J17" s="10">
        <f t="shared" si="2"/>
        <v>47.826086956521742</v>
      </c>
    </row>
    <row r="18" spans="1:10" ht="16.5" x14ac:dyDescent="0.45">
      <c r="A18" s="22" t="s">
        <v>37</v>
      </c>
      <c r="B18" s="11">
        <v>62</v>
      </c>
      <c r="C18" s="24">
        <v>23</v>
      </c>
      <c r="D18" s="10">
        <f t="shared" si="0"/>
        <v>37.096774193548384</v>
      </c>
      <c r="E18" s="11">
        <v>62</v>
      </c>
      <c r="F18" s="24">
        <v>14</v>
      </c>
      <c r="G18" s="12">
        <f t="shared" si="1"/>
        <v>22.58064516129032</v>
      </c>
      <c r="H18" s="9">
        <v>75</v>
      </c>
      <c r="I18" s="24">
        <v>20</v>
      </c>
      <c r="J18" s="10">
        <f t="shared" si="2"/>
        <v>26.666666666666668</v>
      </c>
    </row>
    <row r="19" spans="1:10" ht="16.5" x14ac:dyDescent="0.45">
      <c r="A19" s="22" t="s">
        <v>17</v>
      </c>
      <c r="B19" s="11">
        <v>2230</v>
      </c>
      <c r="C19" s="24">
        <v>1371</v>
      </c>
      <c r="D19" s="10">
        <f t="shared" si="0"/>
        <v>61.479820627802695</v>
      </c>
      <c r="E19" s="11">
        <v>2230</v>
      </c>
      <c r="F19" s="24">
        <v>1269</v>
      </c>
      <c r="G19" s="12">
        <f t="shared" si="1"/>
        <v>56.905829596412559</v>
      </c>
      <c r="H19" s="9">
        <v>2609</v>
      </c>
      <c r="I19" s="24">
        <v>1234</v>
      </c>
      <c r="J19" s="10">
        <f t="shared" si="2"/>
        <v>47.297815254886935</v>
      </c>
    </row>
    <row r="20" spans="1:10" ht="16.5" x14ac:dyDescent="0.45">
      <c r="A20" s="22" t="s">
        <v>18</v>
      </c>
      <c r="B20" s="11">
        <v>543</v>
      </c>
      <c r="C20" s="24">
        <v>334</v>
      </c>
      <c r="D20" s="10">
        <f t="shared" si="0"/>
        <v>61.510128913443829</v>
      </c>
      <c r="E20" s="11">
        <v>543</v>
      </c>
      <c r="F20" s="24">
        <v>338</v>
      </c>
      <c r="G20" s="12">
        <f t="shared" si="1"/>
        <v>62.246777163904234</v>
      </c>
      <c r="H20" s="9">
        <v>634</v>
      </c>
      <c r="I20" s="24">
        <v>381</v>
      </c>
      <c r="J20" s="10">
        <f t="shared" si="2"/>
        <v>60.094637223974765</v>
      </c>
    </row>
    <row r="21" spans="1:10" ht="16.5" x14ac:dyDescent="0.45">
      <c r="A21" s="22" t="s">
        <v>5</v>
      </c>
      <c r="B21" s="11">
        <v>1425</v>
      </c>
      <c r="C21" s="24">
        <v>656</v>
      </c>
      <c r="D21" s="10">
        <f t="shared" si="0"/>
        <v>46.035087719298247</v>
      </c>
      <c r="E21" s="11">
        <v>1425</v>
      </c>
      <c r="F21" s="24">
        <v>487</v>
      </c>
      <c r="G21" s="12">
        <f t="shared" si="1"/>
        <v>34.175438596491226</v>
      </c>
      <c r="H21" s="9">
        <v>1082</v>
      </c>
      <c r="I21" s="24">
        <v>724</v>
      </c>
      <c r="J21" s="10">
        <f t="shared" si="2"/>
        <v>66.913123844731984</v>
      </c>
    </row>
    <row r="22" spans="1:10" ht="16.5" x14ac:dyDescent="0.45">
      <c r="A22" s="22" t="s">
        <v>19</v>
      </c>
      <c r="B22" s="11">
        <v>284</v>
      </c>
      <c r="C22" s="24">
        <v>123</v>
      </c>
      <c r="D22" s="10">
        <f t="shared" si="0"/>
        <v>43.309859154929576</v>
      </c>
      <c r="E22" s="11">
        <v>284</v>
      </c>
      <c r="F22" s="24">
        <v>103</v>
      </c>
      <c r="G22" s="12">
        <f t="shared" si="1"/>
        <v>36.267605633802816</v>
      </c>
      <c r="H22" s="9">
        <v>376</v>
      </c>
      <c r="I22" s="24">
        <v>194</v>
      </c>
      <c r="J22" s="10">
        <f t="shared" si="2"/>
        <v>51.595744680851062</v>
      </c>
    </row>
    <row r="23" spans="1:10" ht="29" x14ac:dyDescent="0.45">
      <c r="A23" s="22" t="s">
        <v>6</v>
      </c>
      <c r="B23" s="11">
        <v>488</v>
      </c>
      <c r="C23" s="24">
        <v>118</v>
      </c>
      <c r="D23" s="10">
        <f t="shared" si="0"/>
        <v>24.180327868852459</v>
      </c>
      <c r="E23" s="11">
        <v>488</v>
      </c>
      <c r="F23" s="24">
        <v>111</v>
      </c>
      <c r="G23" s="12">
        <f t="shared" si="1"/>
        <v>22.745901639344261</v>
      </c>
      <c r="H23" s="9">
        <v>514</v>
      </c>
      <c r="I23" s="24">
        <v>175</v>
      </c>
      <c r="J23" s="10">
        <f t="shared" si="2"/>
        <v>34.046692607003891</v>
      </c>
    </row>
    <row r="24" spans="1:10" ht="16.5" x14ac:dyDescent="0.45">
      <c r="A24" s="22" t="s">
        <v>29</v>
      </c>
      <c r="B24" s="11">
        <v>443</v>
      </c>
      <c r="C24" s="24">
        <v>340</v>
      </c>
      <c r="D24" s="10">
        <f t="shared" si="0"/>
        <v>76.74943566591422</v>
      </c>
      <c r="E24" s="11">
        <v>443</v>
      </c>
      <c r="F24" s="24">
        <v>330</v>
      </c>
      <c r="G24" s="12">
        <f t="shared" si="1"/>
        <v>74.492099322799106</v>
      </c>
      <c r="H24" s="9">
        <v>425</v>
      </c>
      <c r="I24" s="24">
        <v>267</v>
      </c>
      <c r="J24" s="10">
        <f t="shared" si="2"/>
        <v>62.82352941176471</v>
      </c>
    </row>
    <row r="25" spans="1:10" ht="16.5" x14ac:dyDescent="0.45">
      <c r="A25" s="22" t="s">
        <v>38</v>
      </c>
      <c r="B25" s="11">
        <v>130</v>
      </c>
      <c r="C25" s="24">
        <v>33</v>
      </c>
      <c r="D25" s="10">
        <f t="shared" si="0"/>
        <v>25.384615384615383</v>
      </c>
      <c r="E25" s="11">
        <v>130</v>
      </c>
      <c r="F25" s="24">
        <v>26</v>
      </c>
      <c r="G25" s="12">
        <f t="shared" si="1"/>
        <v>20</v>
      </c>
      <c r="H25" s="9">
        <v>123</v>
      </c>
      <c r="I25" s="24">
        <v>57</v>
      </c>
      <c r="J25" s="10">
        <f t="shared" si="2"/>
        <v>46.341463414634148</v>
      </c>
    </row>
    <row r="26" spans="1:10" ht="16.5" x14ac:dyDescent="0.45">
      <c r="A26" s="22" t="s">
        <v>30</v>
      </c>
      <c r="B26" s="11">
        <v>99</v>
      </c>
      <c r="C26" s="24">
        <v>30</v>
      </c>
      <c r="D26" s="10">
        <f t="shared" si="0"/>
        <v>30.303030303030305</v>
      </c>
      <c r="E26" s="11">
        <v>99</v>
      </c>
      <c r="F26" s="24">
        <v>26</v>
      </c>
      <c r="G26" s="12">
        <f t="shared" si="1"/>
        <v>26.262626262626267</v>
      </c>
      <c r="H26" s="9">
        <v>95</v>
      </c>
      <c r="I26" s="24">
        <v>27</v>
      </c>
      <c r="J26" s="10">
        <f t="shared" si="2"/>
        <v>28.421052631578945</v>
      </c>
    </row>
    <row r="27" spans="1:10" ht="29" x14ac:dyDescent="0.45">
      <c r="A27" s="22" t="s">
        <v>7</v>
      </c>
      <c r="B27" s="11">
        <v>224</v>
      </c>
      <c r="C27" s="24">
        <v>68</v>
      </c>
      <c r="D27" s="10">
        <f t="shared" si="0"/>
        <v>30.357142857142854</v>
      </c>
      <c r="E27" s="11">
        <v>224</v>
      </c>
      <c r="F27" s="24">
        <v>108</v>
      </c>
      <c r="G27" s="12">
        <f t="shared" si="1"/>
        <v>48.214285714285715</v>
      </c>
      <c r="H27" s="9">
        <v>243</v>
      </c>
      <c r="I27" s="24">
        <v>190</v>
      </c>
      <c r="J27" s="10">
        <f t="shared" si="2"/>
        <v>78.189300411522638</v>
      </c>
    </row>
    <row r="28" spans="1:10" ht="29" x14ac:dyDescent="0.45">
      <c r="A28" s="22" t="s">
        <v>20</v>
      </c>
      <c r="B28" s="11">
        <v>220</v>
      </c>
      <c r="C28" s="24">
        <v>65</v>
      </c>
      <c r="D28" s="10">
        <f t="shared" si="0"/>
        <v>29.545454545454547</v>
      </c>
      <c r="E28" s="11">
        <v>220</v>
      </c>
      <c r="F28" s="24">
        <v>93</v>
      </c>
      <c r="G28" s="12">
        <f t="shared" si="1"/>
        <v>42.272727272727273</v>
      </c>
      <c r="H28" s="9">
        <v>212</v>
      </c>
      <c r="I28" s="24">
        <v>175</v>
      </c>
      <c r="J28" s="10">
        <f t="shared" si="2"/>
        <v>82.547169811320757</v>
      </c>
    </row>
    <row r="29" spans="1:10" ht="16.5" x14ac:dyDescent="0.45">
      <c r="A29" s="22" t="s">
        <v>8</v>
      </c>
      <c r="B29" s="11">
        <v>135</v>
      </c>
      <c r="C29" s="24">
        <v>76</v>
      </c>
      <c r="D29" s="10">
        <f t="shared" si="0"/>
        <v>56.296296296296298</v>
      </c>
      <c r="E29" s="11">
        <v>135</v>
      </c>
      <c r="F29" s="24">
        <v>48</v>
      </c>
      <c r="G29" s="12">
        <f t="shared" si="1"/>
        <v>35.555555555555557</v>
      </c>
      <c r="H29" s="9">
        <v>190</v>
      </c>
      <c r="I29" s="24">
        <v>97</v>
      </c>
      <c r="J29" s="10">
        <f t="shared" si="2"/>
        <v>51.05263157894737</v>
      </c>
    </row>
    <row r="30" spans="1:10" ht="29" x14ac:dyDescent="0.45">
      <c r="A30" s="22" t="s">
        <v>9</v>
      </c>
      <c r="B30" s="11">
        <v>1283</v>
      </c>
      <c r="C30" s="24">
        <v>401</v>
      </c>
      <c r="D30" s="10">
        <f t="shared" si="0"/>
        <v>31.254871395167577</v>
      </c>
      <c r="E30" s="11">
        <v>1283</v>
      </c>
      <c r="F30" s="24">
        <v>328</v>
      </c>
      <c r="G30" s="12">
        <f t="shared" si="1"/>
        <v>25.565081839438815</v>
      </c>
      <c r="H30" s="9">
        <v>1399</v>
      </c>
      <c r="I30" s="24">
        <v>490</v>
      </c>
      <c r="J30" s="10">
        <f t="shared" si="2"/>
        <v>35.025017869907074</v>
      </c>
    </row>
    <row r="31" spans="1:10" ht="16.5" x14ac:dyDescent="0.45">
      <c r="A31" s="22" t="s">
        <v>39</v>
      </c>
      <c r="B31" s="11">
        <v>259</v>
      </c>
      <c r="C31" s="24">
        <v>88</v>
      </c>
      <c r="D31" s="10">
        <f t="shared" si="0"/>
        <v>33.976833976833973</v>
      </c>
      <c r="E31" s="11">
        <v>259</v>
      </c>
      <c r="F31" s="24">
        <v>96</v>
      </c>
      <c r="G31" s="12">
        <f t="shared" si="1"/>
        <v>37.065637065637063</v>
      </c>
      <c r="H31" s="9">
        <v>208</v>
      </c>
      <c r="I31" s="24">
        <v>74</v>
      </c>
      <c r="J31" s="10">
        <f t="shared" si="2"/>
        <v>35.57692307692308</v>
      </c>
    </row>
    <row r="32" spans="1:10" ht="29" x14ac:dyDescent="0.45">
      <c r="A32" s="22" t="s">
        <v>40</v>
      </c>
      <c r="B32" s="11">
        <v>36</v>
      </c>
      <c r="C32" s="24">
        <v>5</v>
      </c>
      <c r="D32" s="10">
        <f t="shared" si="0"/>
        <v>13.888888888888889</v>
      </c>
      <c r="E32" s="11">
        <v>36</v>
      </c>
      <c r="F32" s="24">
        <v>4</v>
      </c>
      <c r="G32" s="12">
        <f t="shared" si="1"/>
        <v>11.111111111111111</v>
      </c>
      <c r="H32" s="9">
        <v>36</v>
      </c>
      <c r="I32" s="24">
        <v>13</v>
      </c>
      <c r="J32" s="10">
        <f t="shared" si="2"/>
        <v>36.111111111111107</v>
      </c>
    </row>
    <row r="33" spans="1:10" ht="16.5" x14ac:dyDescent="0.45">
      <c r="A33" s="22" t="s">
        <v>10</v>
      </c>
      <c r="B33" s="11">
        <v>581</v>
      </c>
      <c r="C33" s="24">
        <v>145</v>
      </c>
      <c r="D33" s="10">
        <f t="shared" si="0"/>
        <v>24.956970740103269</v>
      </c>
      <c r="E33" s="11">
        <v>581</v>
      </c>
      <c r="F33" s="24">
        <v>166</v>
      </c>
      <c r="G33" s="12">
        <f t="shared" si="1"/>
        <v>28.571428571428569</v>
      </c>
      <c r="H33" s="9">
        <v>608</v>
      </c>
      <c r="I33" s="24">
        <v>161</v>
      </c>
      <c r="J33" s="10">
        <f t="shared" si="2"/>
        <v>26.480263157894733</v>
      </c>
    </row>
    <row r="34" spans="1:10" ht="29" x14ac:dyDescent="0.45">
      <c r="A34" s="22" t="s">
        <v>41</v>
      </c>
      <c r="B34" s="11">
        <v>129</v>
      </c>
      <c r="C34" s="24">
        <v>51</v>
      </c>
      <c r="D34" s="10">
        <f t="shared" si="0"/>
        <v>39.534883720930232</v>
      </c>
      <c r="E34" s="11">
        <v>129</v>
      </c>
      <c r="F34" s="24">
        <v>78</v>
      </c>
      <c r="G34" s="12">
        <f t="shared" si="1"/>
        <v>60.465116279069761</v>
      </c>
      <c r="H34" s="9">
        <v>153</v>
      </c>
      <c r="I34" s="24">
        <v>79</v>
      </c>
      <c r="J34" s="10">
        <f t="shared" si="2"/>
        <v>51.633986928104584</v>
      </c>
    </row>
    <row r="35" spans="1:10" ht="29" x14ac:dyDescent="0.45">
      <c r="A35" s="22" t="s">
        <v>21</v>
      </c>
      <c r="B35" s="11">
        <v>228</v>
      </c>
      <c r="C35" s="24">
        <v>60</v>
      </c>
      <c r="D35" s="10">
        <f t="shared" si="0"/>
        <v>26.315789473684209</v>
      </c>
      <c r="E35" s="11">
        <v>228</v>
      </c>
      <c r="F35" s="24">
        <v>51</v>
      </c>
      <c r="G35" s="12">
        <f t="shared" si="1"/>
        <v>22.368421052631579</v>
      </c>
      <c r="H35" s="9">
        <v>219</v>
      </c>
      <c r="I35" s="24">
        <v>63</v>
      </c>
      <c r="J35" s="10">
        <f t="shared" si="2"/>
        <v>28.767123287671232</v>
      </c>
    </row>
    <row r="36" spans="1:10" ht="29" x14ac:dyDescent="0.45">
      <c r="A36" s="22" t="s">
        <v>22</v>
      </c>
      <c r="B36" s="11">
        <v>33</v>
      </c>
      <c r="C36" s="24">
        <v>34</v>
      </c>
      <c r="D36" s="10">
        <f t="shared" si="0"/>
        <v>103.03030303030303</v>
      </c>
      <c r="E36" s="11">
        <v>33</v>
      </c>
      <c r="F36" s="24">
        <v>15</v>
      </c>
      <c r="G36" s="12">
        <f t="shared" si="1"/>
        <v>45.454545454545453</v>
      </c>
      <c r="H36" s="9">
        <v>38</v>
      </c>
      <c r="I36" s="24">
        <v>11</v>
      </c>
      <c r="J36" s="10">
        <f t="shared" si="2"/>
        <v>28.947368421052634</v>
      </c>
    </row>
    <row r="37" spans="1:10" ht="29" x14ac:dyDescent="0.45">
      <c r="A37" s="22" t="s">
        <v>23</v>
      </c>
      <c r="B37" s="11">
        <v>38</v>
      </c>
      <c r="C37" s="24">
        <v>14</v>
      </c>
      <c r="D37" s="10">
        <f t="shared" si="0"/>
        <v>36.84210526315789</v>
      </c>
      <c r="E37" s="11">
        <v>38</v>
      </c>
      <c r="F37" s="24">
        <v>6</v>
      </c>
      <c r="G37" s="12">
        <f t="shared" si="1"/>
        <v>15.789473684210526</v>
      </c>
      <c r="H37" s="9">
        <v>41</v>
      </c>
      <c r="I37" s="24">
        <v>16</v>
      </c>
      <c r="J37" s="10">
        <f t="shared" si="2"/>
        <v>39.024390243902438</v>
      </c>
    </row>
    <row r="38" spans="1:10" ht="16.5" x14ac:dyDescent="0.45">
      <c r="A38" s="22" t="s">
        <v>24</v>
      </c>
      <c r="B38" s="11">
        <v>130</v>
      </c>
      <c r="C38" s="24">
        <v>20</v>
      </c>
      <c r="D38" s="10">
        <f t="shared" si="0"/>
        <v>15.384615384615385</v>
      </c>
      <c r="E38" s="11">
        <v>130</v>
      </c>
      <c r="F38" s="24">
        <v>42</v>
      </c>
      <c r="G38" s="12">
        <f t="shared" si="1"/>
        <v>32.307692307692307</v>
      </c>
      <c r="H38" s="9">
        <v>140</v>
      </c>
      <c r="I38" s="24">
        <v>51</v>
      </c>
      <c r="J38" s="10">
        <f t="shared" si="2"/>
        <v>36.428571428571423</v>
      </c>
    </row>
    <row r="39" spans="1:10" ht="43.5" x14ac:dyDescent="0.45">
      <c r="A39" s="22" t="s">
        <v>31</v>
      </c>
      <c r="B39" s="11">
        <v>1467</v>
      </c>
      <c r="C39" s="24">
        <v>393</v>
      </c>
      <c r="D39" s="10">
        <f t="shared" si="0"/>
        <v>26.789366053169733</v>
      </c>
      <c r="E39" s="11">
        <v>1467</v>
      </c>
      <c r="F39" s="24">
        <v>421</v>
      </c>
      <c r="G39" s="12">
        <f t="shared" si="1"/>
        <v>28.698023176550784</v>
      </c>
      <c r="H39" s="9">
        <v>1144</v>
      </c>
      <c r="I39" s="24">
        <v>316</v>
      </c>
      <c r="J39" s="10">
        <f t="shared" si="2"/>
        <v>27.62237762237762</v>
      </c>
    </row>
    <row r="40" spans="1:10" ht="16.5" x14ac:dyDescent="0.45">
      <c r="A40" s="22" t="s">
        <v>11</v>
      </c>
      <c r="B40" s="11">
        <v>166</v>
      </c>
      <c r="C40" s="24">
        <v>43</v>
      </c>
      <c r="D40" s="10">
        <f t="shared" si="0"/>
        <v>25.903614457831324</v>
      </c>
      <c r="E40" s="11">
        <v>166</v>
      </c>
      <c r="F40" s="24">
        <v>57</v>
      </c>
      <c r="G40" s="12">
        <f t="shared" si="1"/>
        <v>34.337349397590359</v>
      </c>
      <c r="H40" s="9">
        <v>177</v>
      </c>
      <c r="I40" s="24">
        <v>72</v>
      </c>
      <c r="J40" s="10">
        <f t="shared" si="2"/>
        <v>40.677966101694921</v>
      </c>
    </row>
    <row r="41" spans="1:10" ht="16.5" x14ac:dyDescent="0.45">
      <c r="A41" s="22" t="s">
        <v>12</v>
      </c>
      <c r="B41" s="11">
        <v>952</v>
      </c>
      <c r="C41" s="24">
        <v>132</v>
      </c>
      <c r="D41" s="10">
        <f t="shared" si="0"/>
        <v>13.865546218487395</v>
      </c>
      <c r="E41" s="11">
        <v>952</v>
      </c>
      <c r="F41" s="24">
        <v>121</v>
      </c>
      <c r="G41" s="12">
        <f t="shared" si="1"/>
        <v>12.710084033613445</v>
      </c>
      <c r="H41" s="9">
        <v>851</v>
      </c>
      <c r="I41" s="24">
        <v>149</v>
      </c>
      <c r="J41" s="10">
        <f t="shared" si="2"/>
        <v>17.508813160987074</v>
      </c>
    </row>
    <row r="42" spans="1:10" ht="29" x14ac:dyDescent="0.45">
      <c r="A42" s="22" t="s">
        <v>32</v>
      </c>
      <c r="B42" s="11">
        <v>30</v>
      </c>
      <c r="C42" s="24">
        <v>56</v>
      </c>
      <c r="D42" s="10">
        <f t="shared" si="0"/>
        <v>186.66666666666666</v>
      </c>
      <c r="E42" s="11">
        <v>30</v>
      </c>
      <c r="F42" s="24">
        <v>41</v>
      </c>
      <c r="G42" s="12">
        <f t="shared" si="1"/>
        <v>136.66666666666666</v>
      </c>
      <c r="H42" s="9">
        <v>50</v>
      </c>
      <c r="I42" s="24">
        <v>57</v>
      </c>
      <c r="J42" s="10">
        <f t="shared" si="2"/>
        <v>113.99999999999999</v>
      </c>
    </row>
    <row r="43" spans="1:10" ht="16.5" x14ac:dyDescent="0.45">
      <c r="A43" s="22" t="s">
        <v>25</v>
      </c>
      <c r="B43" s="11">
        <v>278</v>
      </c>
      <c r="C43" s="24">
        <v>159</v>
      </c>
      <c r="D43" s="10">
        <f t="shared" si="0"/>
        <v>57.194244604316545</v>
      </c>
      <c r="E43" s="11">
        <v>278</v>
      </c>
      <c r="F43" s="24">
        <v>170</v>
      </c>
      <c r="G43" s="12">
        <f t="shared" si="1"/>
        <v>61.151079136690647</v>
      </c>
      <c r="H43" s="9">
        <v>348</v>
      </c>
      <c r="I43" s="24">
        <v>238</v>
      </c>
      <c r="J43" s="10">
        <f t="shared" si="2"/>
        <v>68.390804597701148</v>
      </c>
    </row>
    <row r="44" spans="1:10" ht="16.5" x14ac:dyDescent="0.45">
      <c r="A44" s="22" t="s">
        <v>33</v>
      </c>
      <c r="B44" s="11">
        <v>112</v>
      </c>
      <c r="C44" s="24">
        <v>51</v>
      </c>
      <c r="D44" s="10">
        <f t="shared" si="0"/>
        <v>45.535714285714285</v>
      </c>
      <c r="E44" s="11">
        <v>112</v>
      </c>
      <c r="F44" s="24">
        <v>36</v>
      </c>
      <c r="G44" s="12">
        <f t="shared" si="1"/>
        <v>32.142857142857146</v>
      </c>
      <c r="H44" s="9">
        <v>133</v>
      </c>
      <c r="I44" s="24">
        <v>64</v>
      </c>
      <c r="J44" s="10">
        <f t="shared" si="2"/>
        <v>48.120300751879697</v>
      </c>
    </row>
    <row r="45" spans="1:10" ht="29" x14ac:dyDescent="0.45">
      <c r="A45" s="22" t="s">
        <v>13</v>
      </c>
      <c r="B45" s="11">
        <v>403</v>
      </c>
      <c r="C45" s="24">
        <v>254</v>
      </c>
      <c r="D45" s="10">
        <f t="shared" si="0"/>
        <v>63.027295285359799</v>
      </c>
      <c r="E45" s="11">
        <v>403</v>
      </c>
      <c r="F45" s="24">
        <v>176</v>
      </c>
      <c r="G45" s="12">
        <f t="shared" si="1"/>
        <v>43.672456575682382</v>
      </c>
      <c r="H45" s="9">
        <v>254</v>
      </c>
      <c r="I45" s="24">
        <v>482</v>
      </c>
      <c r="J45" s="10">
        <f t="shared" si="2"/>
        <v>189.76377952755905</v>
      </c>
    </row>
  </sheetData>
  <mergeCells count="7">
    <mergeCell ref="A1:J2"/>
    <mergeCell ref="A3:J3"/>
    <mergeCell ref="A4:J4"/>
    <mergeCell ref="A5:A6"/>
    <mergeCell ref="B5:D5"/>
    <mergeCell ref="E5:G5"/>
    <mergeCell ref="H5:J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FF2D-FA54-4348-AC67-5844CD962A5C}">
  <dimension ref="A1:J45"/>
  <sheetViews>
    <sheetView workbookViewId="0">
      <selection sqref="A1:J45"/>
    </sheetView>
  </sheetViews>
  <sheetFormatPr baseColWidth="10" defaultRowHeight="14.5" x14ac:dyDescent="0.35"/>
  <sheetData>
    <row r="1" spans="1:10" x14ac:dyDescent="0.35">
      <c r="A1" s="37" t="s">
        <v>58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8.5" x14ac:dyDescent="0.3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3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44" t="s">
        <v>2</v>
      </c>
      <c r="B5" s="46" t="s">
        <v>55</v>
      </c>
      <c r="C5" s="47"/>
      <c r="D5" s="48"/>
      <c r="E5" s="46" t="s">
        <v>56</v>
      </c>
      <c r="F5" s="47"/>
      <c r="G5" s="48"/>
      <c r="H5" s="46" t="s">
        <v>57</v>
      </c>
      <c r="I5" s="47"/>
      <c r="J5" s="48"/>
    </row>
    <row r="6" spans="1:10" ht="43.5" x14ac:dyDescent="0.35">
      <c r="A6" s="45"/>
      <c r="B6" s="5" t="s">
        <v>42</v>
      </c>
      <c r="C6" s="23" t="s">
        <v>45</v>
      </c>
      <c r="D6" s="30" t="s">
        <v>44</v>
      </c>
      <c r="E6" s="5" t="s">
        <v>42</v>
      </c>
      <c r="F6" s="23" t="s">
        <v>46</v>
      </c>
      <c r="G6" s="30" t="s">
        <v>44</v>
      </c>
      <c r="H6" s="5" t="s">
        <v>42</v>
      </c>
      <c r="I6" s="23" t="s">
        <v>43</v>
      </c>
      <c r="J6" s="5" t="s">
        <v>44</v>
      </c>
    </row>
    <row r="7" spans="1:10" ht="16.5" x14ac:dyDescent="0.45">
      <c r="A7" s="22" t="s">
        <v>26</v>
      </c>
      <c r="B7" s="11">
        <v>499</v>
      </c>
      <c r="C7" s="24">
        <v>228</v>
      </c>
      <c r="D7" s="10">
        <f t="shared" ref="D7:D45" si="0">SUM(C7/B7*100)</f>
        <v>45.69138276553106</v>
      </c>
      <c r="E7" s="11">
        <v>499</v>
      </c>
      <c r="F7" s="24">
        <v>154</v>
      </c>
      <c r="G7" s="12">
        <f t="shared" ref="G7:G45" si="1">SUM(F7/E7*100)</f>
        <v>30.861723446893784</v>
      </c>
      <c r="H7" s="9">
        <v>560</v>
      </c>
      <c r="I7" s="24">
        <v>229</v>
      </c>
      <c r="J7" s="10">
        <f t="shared" ref="J7:J45" si="2">SUM(I7/H7*100)</f>
        <v>40.892857142857139</v>
      </c>
    </row>
    <row r="8" spans="1:10" ht="16.5" x14ac:dyDescent="0.45">
      <c r="A8" s="22" t="s">
        <v>27</v>
      </c>
      <c r="B8" s="11">
        <v>54</v>
      </c>
      <c r="C8" s="24">
        <v>35</v>
      </c>
      <c r="D8" s="10">
        <f t="shared" si="0"/>
        <v>64.81481481481481</v>
      </c>
      <c r="E8" s="11">
        <v>54</v>
      </c>
      <c r="F8" s="24">
        <v>37</v>
      </c>
      <c r="G8" s="12">
        <f t="shared" si="1"/>
        <v>68.518518518518519</v>
      </c>
      <c r="H8" s="9">
        <v>51</v>
      </c>
      <c r="I8" s="24">
        <v>40</v>
      </c>
      <c r="J8" s="10">
        <f t="shared" si="2"/>
        <v>78.431372549019613</v>
      </c>
    </row>
    <row r="9" spans="1:10" ht="29" x14ac:dyDescent="0.45">
      <c r="A9" s="22" t="s">
        <v>34</v>
      </c>
      <c r="B9" s="11">
        <v>61</v>
      </c>
      <c r="C9" s="24">
        <v>30</v>
      </c>
      <c r="D9" s="10">
        <f t="shared" si="0"/>
        <v>49.180327868852459</v>
      </c>
      <c r="E9" s="11">
        <v>61</v>
      </c>
      <c r="F9" s="24">
        <v>24</v>
      </c>
      <c r="G9" s="12">
        <f t="shared" si="1"/>
        <v>39.344262295081968</v>
      </c>
      <c r="H9" s="11">
        <v>105</v>
      </c>
      <c r="I9" s="24">
        <v>33</v>
      </c>
      <c r="J9" s="10">
        <f t="shared" si="2"/>
        <v>31.428571428571427</v>
      </c>
    </row>
    <row r="10" spans="1:10" ht="16.5" x14ac:dyDescent="0.45">
      <c r="A10" s="22" t="s">
        <v>14</v>
      </c>
      <c r="B10" s="11">
        <v>643</v>
      </c>
      <c r="C10" s="24">
        <v>299</v>
      </c>
      <c r="D10" s="10">
        <f t="shared" si="0"/>
        <v>46.500777604976676</v>
      </c>
      <c r="E10" s="11">
        <v>643</v>
      </c>
      <c r="F10" s="24">
        <v>185</v>
      </c>
      <c r="G10" s="12">
        <f t="shared" si="1"/>
        <v>28.771384136858476</v>
      </c>
      <c r="H10" s="9">
        <v>843</v>
      </c>
      <c r="I10" s="24">
        <v>290</v>
      </c>
      <c r="J10" s="10">
        <f t="shared" si="2"/>
        <v>34.400948991696325</v>
      </c>
    </row>
    <row r="11" spans="1:10" ht="16.5" x14ac:dyDescent="0.45">
      <c r="A11" s="22" t="s">
        <v>3</v>
      </c>
      <c r="B11" s="11">
        <v>8431</v>
      </c>
      <c r="C11" s="25">
        <v>5948</v>
      </c>
      <c r="D11" s="10">
        <f t="shared" si="0"/>
        <v>70.549163800260942</v>
      </c>
      <c r="E11" s="11">
        <v>8431</v>
      </c>
      <c r="F11" s="27">
        <v>6180</v>
      </c>
      <c r="G11" s="12">
        <f t="shared" si="1"/>
        <v>73.300913296168901</v>
      </c>
      <c r="H11" s="8">
        <v>10719</v>
      </c>
      <c r="I11" s="27">
        <v>8584</v>
      </c>
      <c r="J11" s="10">
        <f t="shared" si="2"/>
        <v>80.08209721056069</v>
      </c>
    </row>
    <row r="12" spans="1:10" ht="16.5" x14ac:dyDescent="0.45">
      <c r="A12" s="22" t="s">
        <v>35</v>
      </c>
      <c r="B12" s="11">
        <v>117</v>
      </c>
      <c r="C12" s="24">
        <v>52</v>
      </c>
      <c r="D12" s="10">
        <f t="shared" si="0"/>
        <v>44.444444444444443</v>
      </c>
      <c r="E12" s="11">
        <v>117</v>
      </c>
      <c r="F12" s="24">
        <v>41</v>
      </c>
      <c r="G12" s="12">
        <f t="shared" si="1"/>
        <v>35.042735042735039</v>
      </c>
      <c r="H12" s="9">
        <v>64</v>
      </c>
      <c r="I12" s="24">
        <v>68</v>
      </c>
      <c r="J12" s="10">
        <f t="shared" si="2"/>
        <v>106.25</v>
      </c>
    </row>
    <row r="13" spans="1:10" ht="43.5" x14ac:dyDescent="0.45">
      <c r="A13" s="22" t="s">
        <v>15</v>
      </c>
      <c r="B13" s="11">
        <v>236</v>
      </c>
      <c r="C13" s="24">
        <v>94</v>
      </c>
      <c r="D13" s="10">
        <f t="shared" si="0"/>
        <v>39.83050847457627</v>
      </c>
      <c r="E13" s="11">
        <v>236</v>
      </c>
      <c r="F13" s="24">
        <v>104</v>
      </c>
      <c r="G13" s="12">
        <f t="shared" si="1"/>
        <v>44.067796610169488</v>
      </c>
      <c r="H13" s="9">
        <v>231</v>
      </c>
      <c r="I13" s="24">
        <v>153</v>
      </c>
      <c r="J13" s="10">
        <f t="shared" si="2"/>
        <v>66.233766233766232</v>
      </c>
    </row>
    <row r="14" spans="1:10" ht="29" x14ac:dyDescent="0.45">
      <c r="A14" s="22" t="s">
        <v>16</v>
      </c>
      <c r="B14" s="11">
        <v>5736</v>
      </c>
      <c r="C14" s="24">
        <v>3656</v>
      </c>
      <c r="D14" s="10">
        <f t="shared" si="0"/>
        <v>63.737796373779645</v>
      </c>
      <c r="E14" s="11">
        <v>5736</v>
      </c>
      <c r="F14" s="24">
        <v>2098</v>
      </c>
      <c r="G14" s="12">
        <f t="shared" si="1"/>
        <v>36.576011157601116</v>
      </c>
      <c r="H14" s="9">
        <v>6878</v>
      </c>
      <c r="I14" s="24">
        <v>2062</v>
      </c>
      <c r="J14" s="10">
        <f t="shared" si="2"/>
        <v>29.979645245710962</v>
      </c>
    </row>
    <row r="15" spans="1:10" ht="29" x14ac:dyDescent="0.45">
      <c r="A15" s="22" t="s">
        <v>4</v>
      </c>
      <c r="B15" s="11">
        <v>576</v>
      </c>
      <c r="C15" s="29">
        <v>263</v>
      </c>
      <c r="D15" s="10">
        <f t="shared" si="0"/>
        <v>45.659722222222221</v>
      </c>
      <c r="E15" s="11">
        <v>576</v>
      </c>
      <c r="F15" s="24">
        <v>236</v>
      </c>
      <c r="G15" s="12">
        <f t="shared" si="1"/>
        <v>40.972222222222221</v>
      </c>
      <c r="H15" s="9">
        <v>657</v>
      </c>
      <c r="I15" s="24">
        <v>325</v>
      </c>
      <c r="J15" s="10">
        <f t="shared" si="2"/>
        <v>49.467275494672755</v>
      </c>
    </row>
    <row r="16" spans="1:10" ht="16.5" x14ac:dyDescent="0.45">
      <c r="A16" s="22" t="s">
        <v>28</v>
      </c>
      <c r="B16" s="11">
        <v>137</v>
      </c>
      <c r="C16" s="24">
        <v>40</v>
      </c>
      <c r="D16" s="10">
        <f t="shared" si="0"/>
        <v>29.197080291970799</v>
      </c>
      <c r="E16" s="11">
        <v>137</v>
      </c>
      <c r="F16" s="24">
        <v>40</v>
      </c>
      <c r="G16" s="12">
        <f t="shared" si="1"/>
        <v>29.197080291970799</v>
      </c>
      <c r="H16" s="9">
        <v>184</v>
      </c>
      <c r="I16" s="24">
        <v>37</v>
      </c>
      <c r="J16" s="10">
        <f t="shared" si="2"/>
        <v>20.108695652173914</v>
      </c>
    </row>
    <row r="17" spans="1:10" ht="16.5" x14ac:dyDescent="0.45">
      <c r="A17" s="22" t="s">
        <v>36</v>
      </c>
      <c r="B17" s="11">
        <v>62</v>
      </c>
      <c r="C17" s="24">
        <v>15</v>
      </c>
      <c r="D17" s="10">
        <f t="shared" si="0"/>
        <v>24.193548387096776</v>
      </c>
      <c r="E17" s="11">
        <v>62</v>
      </c>
      <c r="F17" s="24">
        <v>26</v>
      </c>
      <c r="G17" s="12">
        <f t="shared" si="1"/>
        <v>41.935483870967744</v>
      </c>
      <c r="H17" s="9">
        <v>69</v>
      </c>
      <c r="I17" s="24">
        <v>39</v>
      </c>
      <c r="J17" s="10">
        <f t="shared" si="2"/>
        <v>56.521739130434781</v>
      </c>
    </row>
    <row r="18" spans="1:10" ht="16.5" x14ac:dyDescent="0.45">
      <c r="A18" s="22" t="s">
        <v>37</v>
      </c>
      <c r="B18" s="11">
        <v>62</v>
      </c>
      <c r="C18" s="24">
        <v>35</v>
      </c>
      <c r="D18" s="10">
        <f t="shared" si="0"/>
        <v>56.451612903225815</v>
      </c>
      <c r="E18" s="11">
        <v>62</v>
      </c>
      <c r="F18" s="24">
        <v>20</v>
      </c>
      <c r="G18" s="12">
        <f t="shared" si="1"/>
        <v>32.258064516129032</v>
      </c>
      <c r="H18" s="9">
        <v>75</v>
      </c>
      <c r="I18" s="24">
        <v>22</v>
      </c>
      <c r="J18" s="10">
        <f t="shared" si="2"/>
        <v>29.333333333333332</v>
      </c>
    </row>
    <row r="19" spans="1:10" ht="16.5" x14ac:dyDescent="0.45">
      <c r="A19" s="22" t="s">
        <v>17</v>
      </c>
      <c r="B19" s="11">
        <v>2230</v>
      </c>
      <c r="C19" s="24">
        <v>1595</v>
      </c>
      <c r="D19" s="10">
        <f t="shared" si="0"/>
        <v>71.524663677130036</v>
      </c>
      <c r="E19" s="11">
        <v>2230</v>
      </c>
      <c r="F19" s="24">
        <v>1395</v>
      </c>
      <c r="G19" s="12">
        <f t="shared" si="1"/>
        <v>62.556053811659197</v>
      </c>
      <c r="H19" s="9">
        <v>2609</v>
      </c>
      <c r="I19" s="24">
        <v>1414</v>
      </c>
      <c r="J19" s="10">
        <f t="shared" si="2"/>
        <v>54.197010348792638</v>
      </c>
    </row>
    <row r="20" spans="1:10" ht="16.5" x14ac:dyDescent="0.45">
      <c r="A20" s="22" t="s">
        <v>18</v>
      </c>
      <c r="B20" s="11">
        <v>543</v>
      </c>
      <c r="C20" s="24">
        <v>340</v>
      </c>
      <c r="D20" s="10">
        <f t="shared" si="0"/>
        <v>62.615101289134437</v>
      </c>
      <c r="E20" s="11">
        <v>543</v>
      </c>
      <c r="F20" s="24">
        <v>376</v>
      </c>
      <c r="G20" s="12">
        <f t="shared" si="1"/>
        <v>69.244935543278089</v>
      </c>
      <c r="H20" s="9">
        <v>634</v>
      </c>
      <c r="I20" s="24">
        <v>439</v>
      </c>
      <c r="J20" s="10">
        <f t="shared" si="2"/>
        <v>69.242902208201897</v>
      </c>
    </row>
    <row r="21" spans="1:10" ht="16.5" x14ac:dyDescent="0.45">
      <c r="A21" s="22" t="s">
        <v>5</v>
      </c>
      <c r="B21" s="11">
        <v>1425</v>
      </c>
      <c r="C21" s="24">
        <v>712</v>
      </c>
      <c r="D21" s="10">
        <f t="shared" si="0"/>
        <v>49.964912280701753</v>
      </c>
      <c r="E21" s="11">
        <v>1425</v>
      </c>
      <c r="F21" s="24">
        <v>527</v>
      </c>
      <c r="G21" s="12">
        <f t="shared" si="1"/>
        <v>36.982456140350877</v>
      </c>
      <c r="H21" s="9">
        <v>1082</v>
      </c>
      <c r="I21" s="24">
        <v>774</v>
      </c>
      <c r="J21" s="10">
        <f t="shared" si="2"/>
        <v>71.534195933456559</v>
      </c>
    </row>
    <row r="22" spans="1:10" ht="16.5" x14ac:dyDescent="0.45">
      <c r="A22" s="22" t="s">
        <v>19</v>
      </c>
      <c r="B22" s="11">
        <v>284</v>
      </c>
      <c r="C22" s="24">
        <v>131</v>
      </c>
      <c r="D22" s="10">
        <f t="shared" si="0"/>
        <v>46.12676056338028</v>
      </c>
      <c r="E22" s="11">
        <v>284</v>
      </c>
      <c r="F22" s="24">
        <v>107</v>
      </c>
      <c r="G22" s="12">
        <f t="shared" si="1"/>
        <v>37.676056338028168</v>
      </c>
      <c r="H22" s="9">
        <v>376</v>
      </c>
      <c r="I22" s="24">
        <v>208</v>
      </c>
      <c r="J22" s="10">
        <f t="shared" si="2"/>
        <v>55.319148936170215</v>
      </c>
    </row>
    <row r="23" spans="1:10" ht="29" x14ac:dyDescent="0.45">
      <c r="A23" s="22" t="s">
        <v>6</v>
      </c>
      <c r="B23" s="11">
        <v>488</v>
      </c>
      <c r="C23" s="24">
        <v>120</v>
      </c>
      <c r="D23" s="10">
        <f t="shared" si="0"/>
        <v>24.590163934426229</v>
      </c>
      <c r="E23" s="11">
        <v>488</v>
      </c>
      <c r="F23" s="24">
        <v>129</v>
      </c>
      <c r="G23" s="12">
        <f t="shared" si="1"/>
        <v>26.434426229508194</v>
      </c>
      <c r="H23" s="9">
        <v>514</v>
      </c>
      <c r="I23" s="24">
        <v>207</v>
      </c>
      <c r="J23" s="10">
        <f t="shared" si="2"/>
        <v>40.27237354085603</v>
      </c>
    </row>
    <row r="24" spans="1:10" ht="16.5" x14ac:dyDescent="0.45">
      <c r="A24" s="22" t="s">
        <v>29</v>
      </c>
      <c r="B24" s="11">
        <v>443</v>
      </c>
      <c r="C24" s="24">
        <v>358</v>
      </c>
      <c r="D24" s="10">
        <f t="shared" si="0"/>
        <v>80.812641083521441</v>
      </c>
      <c r="E24" s="11">
        <v>443</v>
      </c>
      <c r="F24" s="24">
        <v>368</v>
      </c>
      <c r="G24" s="12">
        <f t="shared" si="1"/>
        <v>83.069977426636569</v>
      </c>
      <c r="H24" s="9">
        <v>425</v>
      </c>
      <c r="I24" s="24">
        <v>295</v>
      </c>
      <c r="J24" s="10">
        <f t="shared" si="2"/>
        <v>69.411764705882348</v>
      </c>
    </row>
    <row r="25" spans="1:10" ht="16.5" x14ac:dyDescent="0.45">
      <c r="A25" s="22" t="s">
        <v>38</v>
      </c>
      <c r="B25" s="11">
        <v>130</v>
      </c>
      <c r="C25" s="24">
        <v>37</v>
      </c>
      <c r="D25" s="10">
        <f t="shared" si="0"/>
        <v>28.46153846153846</v>
      </c>
      <c r="E25" s="11">
        <v>130</v>
      </c>
      <c r="F25" s="24">
        <v>26</v>
      </c>
      <c r="G25" s="12">
        <f t="shared" si="1"/>
        <v>20</v>
      </c>
      <c r="H25" s="9">
        <v>123</v>
      </c>
      <c r="I25" s="24">
        <v>61</v>
      </c>
      <c r="J25" s="10">
        <f t="shared" si="2"/>
        <v>49.59349593495935</v>
      </c>
    </row>
    <row r="26" spans="1:10" ht="16.5" x14ac:dyDescent="0.45">
      <c r="A26" s="22" t="s">
        <v>30</v>
      </c>
      <c r="B26" s="11">
        <v>99</v>
      </c>
      <c r="C26" s="24">
        <v>34</v>
      </c>
      <c r="D26" s="10">
        <f t="shared" si="0"/>
        <v>34.343434343434339</v>
      </c>
      <c r="E26" s="11">
        <v>99</v>
      </c>
      <c r="F26" s="24">
        <v>26</v>
      </c>
      <c r="G26" s="12">
        <f t="shared" si="1"/>
        <v>26.262626262626267</v>
      </c>
      <c r="H26" s="9">
        <v>95</v>
      </c>
      <c r="I26" s="24">
        <v>27</v>
      </c>
      <c r="J26" s="10">
        <f t="shared" si="2"/>
        <v>28.421052631578945</v>
      </c>
    </row>
    <row r="27" spans="1:10" ht="29" x14ac:dyDescent="0.45">
      <c r="A27" s="22" t="s">
        <v>7</v>
      </c>
      <c r="B27" s="11">
        <v>224</v>
      </c>
      <c r="C27" s="24">
        <v>70</v>
      </c>
      <c r="D27" s="10">
        <f t="shared" si="0"/>
        <v>31.25</v>
      </c>
      <c r="E27" s="11">
        <v>224</v>
      </c>
      <c r="F27" s="24">
        <v>112</v>
      </c>
      <c r="G27" s="12">
        <f t="shared" si="1"/>
        <v>50</v>
      </c>
      <c r="H27" s="9">
        <v>243</v>
      </c>
      <c r="I27" s="24">
        <v>192</v>
      </c>
      <c r="J27" s="10">
        <f t="shared" si="2"/>
        <v>79.012345679012341</v>
      </c>
    </row>
    <row r="28" spans="1:10" ht="29" x14ac:dyDescent="0.45">
      <c r="A28" s="22" t="s">
        <v>20</v>
      </c>
      <c r="B28" s="11">
        <v>220</v>
      </c>
      <c r="C28" s="24">
        <v>79</v>
      </c>
      <c r="D28" s="10">
        <f t="shared" si="0"/>
        <v>35.909090909090907</v>
      </c>
      <c r="E28" s="11">
        <v>220</v>
      </c>
      <c r="F28" s="24">
        <v>97</v>
      </c>
      <c r="G28" s="12">
        <f t="shared" si="1"/>
        <v>44.090909090909093</v>
      </c>
      <c r="H28" s="9">
        <v>212</v>
      </c>
      <c r="I28" s="24">
        <v>245</v>
      </c>
      <c r="J28" s="10">
        <f t="shared" si="2"/>
        <v>115.56603773584906</v>
      </c>
    </row>
    <row r="29" spans="1:10" ht="16.5" x14ac:dyDescent="0.45">
      <c r="A29" s="22" t="s">
        <v>8</v>
      </c>
      <c r="B29" s="11">
        <v>135</v>
      </c>
      <c r="C29" s="24">
        <v>78</v>
      </c>
      <c r="D29" s="10">
        <f t="shared" si="0"/>
        <v>57.777777777777771</v>
      </c>
      <c r="E29" s="11">
        <v>135</v>
      </c>
      <c r="F29" s="24">
        <v>62</v>
      </c>
      <c r="G29" s="12">
        <f t="shared" si="1"/>
        <v>45.925925925925924</v>
      </c>
      <c r="H29" s="9">
        <v>190</v>
      </c>
      <c r="I29" s="24">
        <v>123</v>
      </c>
      <c r="J29" s="10">
        <f t="shared" si="2"/>
        <v>64.736842105263165</v>
      </c>
    </row>
    <row r="30" spans="1:10" ht="29" x14ac:dyDescent="0.45">
      <c r="A30" s="22" t="s">
        <v>9</v>
      </c>
      <c r="B30" s="11">
        <v>1283</v>
      </c>
      <c r="C30" s="24">
        <v>401</v>
      </c>
      <c r="D30" s="10">
        <f t="shared" si="0"/>
        <v>31.254871395167577</v>
      </c>
      <c r="E30" s="11">
        <v>1283</v>
      </c>
      <c r="F30" s="24">
        <v>328</v>
      </c>
      <c r="G30" s="12">
        <f t="shared" si="1"/>
        <v>25.565081839438815</v>
      </c>
      <c r="H30" s="9">
        <v>1399</v>
      </c>
      <c r="I30" s="24">
        <v>490</v>
      </c>
      <c r="J30" s="10">
        <f t="shared" si="2"/>
        <v>35.025017869907074</v>
      </c>
    </row>
    <row r="31" spans="1:10" ht="16.5" x14ac:dyDescent="0.45">
      <c r="A31" s="22" t="s">
        <v>39</v>
      </c>
      <c r="B31" s="11">
        <v>259</v>
      </c>
      <c r="C31" s="24">
        <v>98</v>
      </c>
      <c r="D31" s="10">
        <f t="shared" si="0"/>
        <v>37.837837837837839</v>
      </c>
      <c r="E31" s="11">
        <v>259</v>
      </c>
      <c r="F31" s="24">
        <v>104</v>
      </c>
      <c r="G31" s="12">
        <f t="shared" si="1"/>
        <v>40.154440154440152</v>
      </c>
      <c r="H31" s="9">
        <v>208</v>
      </c>
      <c r="I31" s="24">
        <v>84</v>
      </c>
      <c r="J31" s="10">
        <f t="shared" si="2"/>
        <v>40.384615384615387</v>
      </c>
    </row>
    <row r="32" spans="1:10" ht="29" x14ac:dyDescent="0.45">
      <c r="A32" s="22" t="s">
        <v>40</v>
      </c>
      <c r="B32" s="11">
        <v>36</v>
      </c>
      <c r="C32" s="24">
        <v>5</v>
      </c>
      <c r="D32" s="10">
        <f t="shared" si="0"/>
        <v>13.888888888888889</v>
      </c>
      <c r="E32" s="11">
        <v>36</v>
      </c>
      <c r="F32" s="24">
        <v>4</v>
      </c>
      <c r="G32" s="12">
        <f t="shared" si="1"/>
        <v>11.111111111111111</v>
      </c>
      <c r="H32" s="9">
        <v>36</v>
      </c>
      <c r="I32" s="24">
        <v>13</v>
      </c>
      <c r="J32" s="10">
        <f t="shared" si="2"/>
        <v>36.111111111111107</v>
      </c>
    </row>
    <row r="33" spans="1:10" ht="16.5" x14ac:dyDescent="0.45">
      <c r="A33" s="22" t="s">
        <v>10</v>
      </c>
      <c r="B33" s="11">
        <v>581</v>
      </c>
      <c r="C33" s="24">
        <v>145</v>
      </c>
      <c r="D33" s="10">
        <f t="shared" si="0"/>
        <v>24.956970740103269</v>
      </c>
      <c r="E33" s="11">
        <v>581</v>
      </c>
      <c r="F33" s="24">
        <v>166</v>
      </c>
      <c r="G33" s="12">
        <f t="shared" si="1"/>
        <v>28.571428571428569</v>
      </c>
      <c r="H33" s="9">
        <v>608</v>
      </c>
      <c r="I33" s="24">
        <v>161</v>
      </c>
      <c r="J33" s="10">
        <f t="shared" si="2"/>
        <v>26.480263157894733</v>
      </c>
    </row>
    <row r="34" spans="1:10" ht="29" x14ac:dyDescent="0.45">
      <c r="A34" s="22" t="s">
        <v>41</v>
      </c>
      <c r="B34" s="11">
        <v>129</v>
      </c>
      <c r="C34" s="24">
        <v>59</v>
      </c>
      <c r="D34" s="10">
        <f t="shared" si="0"/>
        <v>45.736434108527128</v>
      </c>
      <c r="E34" s="11">
        <v>129</v>
      </c>
      <c r="F34" s="24">
        <v>81</v>
      </c>
      <c r="G34" s="12">
        <f t="shared" si="1"/>
        <v>62.790697674418603</v>
      </c>
      <c r="H34" s="9">
        <v>153</v>
      </c>
      <c r="I34" s="24">
        <v>91</v>
      </c>
      <c r="J34" s="10">
        <f t="shared" si="2"/>
        <v>59.477124183006538</v>
      </c>
    </row>
    <row r="35" spans="1:10" ht="29" x14ac:dyDescent="0.45">
      <c r="A35" s="22" t="s">
        <v>21</v>
      </c>
      <c r="B35" s="11">
        <v>228</v>
      </c>
      <c r="C35" s="24">
        <v>60</v>
      </c>
      <c r="D35" s="10">
        <f t="shared" si="0"/>
        <v>26.315789473684209</v>
      </c>
      <c r="E35" s="11">
        <v>228</v>
      </c>
      <c r="F35" s="24">
        <v>51</v>
      </c>
      <c r="G35" s="12">
        <f t="shared" si="1"/>
        <v>22.368421052631579</v>
      </c>
      <c r="H35" s="9">
        <v>219</v>
      </c>
      <c r="I35" s="24">
        <v>63</v>
      </c>
      <c r="J35" s="10">
        <f t="shared" si="2"/>
        <v>28.767123287671232</v>
      </c>
    </row>
    <row r="36" spans="1:10" ht="29" x14ac:dyDescent="0.45">
      <c r="A36" s="22" t="s">
        <v>22</v>
      </c>
      <c r="B36" s="11">
        <v>33</v>
      </c>
      <c r="C36" s="24">
        <v>34</v>
      </c>
      <c r="D36" s="10">
        <f t="shared" si="0"/>
        <v>103.03030303030303</v>
      </c>
      <c r="E36" s="11">
        <v>33</v>
      </c>
      <c r="F36" s="24">
        <v>15</v>
      </c>
      <c r="G36" s="12">
        <f t="shared" si="1"/>
        <v>45.454545454545453</v>
      </c>
      <c r="H36" s="9">
        <v>38</v>
      </c>
      <c r="I36" s="24">
        <v>11</v>
      </c>
      <c r="J36" s="10">
        <f t="shared" si="2"/>
        <v>28.947368421052634</v>
      </c>
    </row>
    <row r="37" spans="1:10" ht="29" x14ac:dyDescent="0.45">
      <c r="A37" s="22" t="s">
        <v>23</v>
      </c>
      <c r="B37" s="11">
        <v>38</v>
      </c>
      <c r="C37" s="24">
        <v>14</v>
      </c>
      <c r="D37" s="10">
        <f t="shared" si="0"/>
        <v>36.84210526315789</v>
      </c>
      <c r="E37" s="11">
        <v>38</v>
      </c>
      <c r="F37" s="24">
        <v>6</v>
      </c>
      <c r="G37" s="12">
        <f t="shared" si="1"/>
        <v>15.789473684210526</v>
      </c>
      <c r="H37" s="9">
        <v>41</v>
      </c>
      <c r="I37" s="24">
        <v>16</v>
      </c>
      <c r="J37" s="10">
        <f t="shared" si="2"/>
        <v>39.024390243902438</v>
      </c>
    </row>
    <row r="38" spans="1:10" ht="16.5" x14ac:dyDescent="0.45">
      <c r="A38" s="22" t="s">
        <v>24</v>
      </c>
      <c r="B38" s="11">
        <v>130</v>
      </c>
      <c r="C38" s="24">
        <v>28</v>
      </c>
      <c r="D38" s="10">
        <f t="shared" si="0"/>
        <v>21.53846153846154</v>
      </c>
      <c r="E38" s="11">
        <v>130</v>
      </c>
      <c r="F38" s="24">
        <v>44</v>
      </c>
      <c r="G38" s="12">
        <f t="shared" si="1"/>
        <v>33.846153846153847</v>
      </c>
      <c r="H38" s="9">
        <v>140</v>
      </c>
      <c r="I38" s="24">
        <v>61</v>
      </c>
      <c r="J38" s="10">
        <f t="shared" si="2"/>
        <v>43.571428571428569</v>
      </c>
    </row>
    <row r="39" spans="1:10" ht="43.5" x14ac:dyDescent="0.45">
      <c r="A39" s="22" t="s">
        <v>31</v>
      </c>
      <c r="B39" s="11">
        <v>1467</v>
      </c>
      <c r="C39" s="24">
        <v>409</v>
      </c>
      <c r="D39" s="10">
        <f t="shared" si="0"/>
        <v>27.880027266530334</v>
      </c>
      <c r="E39" s="11">
        <v>1467</v>
      </c>
      <c r="F39" s="24">
        <v>433</v>
      </c>
      <c r="G39" s="12">
        <f t="shared" si="1"/>
        <v>29.516019086571234</v>
      </c>
      <c r="H39" s="9">
        <v>1144</v>
      </c>
      <c r="I39" s="24">
        <v>324</v>
      </c>
      <c r="J39" s="10">
        <f t="shared" si="2"/>
        <v>28.321678321678323</v>
      </c>
    </row>
    <row r="40" spans="1:10" ht="16.5" x14ac:dyDescent="0.45">
      <c r="A40" s="22" t="s">
        <v>11</v>
      </c>
      <c r="B40" s="11">
        <v>166</v>
      </c>
      <c r="C40" s="24">
        <v>45</v>
      </c>
      <c r="D40" s="10">
        <f t="shared" si="0"/>
        <v>27.108433734939759</v>
      </c>
      <c r="E40" s="11">
        <v>166</v>
      </c>
      <c r="F40" s="24">
        <v>61</v>
      </c>
      <c r="G40" s="12">
        <f t="shared" si="1"/>
        <v>36.746987951807228</v>
      </c>
      <c r="H40" s="9">
        <v>177</v>
      </c>
      <c r="I40" s="24">
        <v>74</v>
      </c>
      <c r="J40" s="10">
        <f t="shared" si="2"/>
        <v>41.807909604519772</v>
      </c>
    </row>
    <row r="41" spans="1:10" ht="16.5" x14ac:dyDescent="0.45">
      <c r="A41" s="22" t="s">
        <v>12</v>
      </c>
      <c r="B41" s="11">
        <v>952</v>
      </c>
      <c r="C41" s="24">
        <v>136</v>
      </c>
      <c r="D41" s="10">
        <f t="shared" si="0"/>
        <v>14.285714285714285</v>
      </c>
      <c r="E41" s="11">
        <v>952</v>
      </c>
      <c r="F41" s="24">
        <v>123</v>
      </c>
      <c r="G41" s="12">
        <f t="shared" si="1"/>
        <v>12.920168067226893</v>
      </c>
      <c r="H41" s="9">
        <v>851</v>
      </c>
      <c r="I41" s="24">
        <v>153</v>
      </c>
      <c r="J41" s="10">
        <f t="shared" si="2"/>
        <v>17.97884841363102</v>
      </c>
    </row>
    <row r="42" spans="1:10" ht="29" x14ac:dyDescent="0.45">
      <c r="A42" s="22" t="s">
        <v>32</v>
      </c>
      <c r="B42" s="11">
        <v>30</v>
      </c>
      <c r="C42" s="24">
        <v>58</v>
      </c>
      <c r="D42" s="10">
        <f t="shared" si="0"/>
        <v>193.33333333333334</v>
      </c>
      <c r="E42" s="11">
        <v>30</v>
      </c>
      <c r="F42" s="24">
        <v>45</v>
      </c>
      <c r="G42" s="12">
        <f t="shared" si="1"/>
        <v>150</v>
      </c>
      <c r="H42" s="9">
        <v>50</v>
      </c>
      <c r="I42" s="24">
        <v>59</v>
      </c>
      <c r="J42" s="10">
        <f t="shared" si="2"/>
        <v>118</v>
      </c>
    </row>
    <row r="43" spans="1:10" ht="16.5" x14ac:dyDescent="0.45">
      <c r="A43" s="22" t="s">
        <v>25</v>
      </c>
      <c r="B43" s="11">
        <v>278</v>
      </c>
      <c r="C43" s="24">
        <v>167</v>
      </c>
      <c r="D43" s="10">
        <f t="shared" si="0"/>
        <v>60.071942446043167</v>
      </c>
      <c r="E43" s="11">
        <v>278</v>
      </c>
      <c r="F43" s="24">
        <v>192</v>
      </c>
      <c r="G43" s="12">
        <f t="shared" si="1"/>
        <v>69.064748201438846</v>
      </c>
      <c r="H43" s="9">
        <v>348</v>
      </c>
      <c r="I43" s="24">
        <v>244</v>
      </c>
      <c r="J43" s="10">
        <f t="shared" si="2"/>
        <v>70.114942528735639</v>
      </c>
    </row>
    <row r="44" spans="1:10" ht="16.5" x14ac:dyDescent="0.45">
      <c r="A44" s="22" t="s">
        <v>33</v>
      </c>
      <c r="B44" s="11">
        <v>112</v>
      </c>
      <c r="C44" s="24">
        <v>55</v>
      </c>
      <c r="D44" s="10">
        <f t="shared" si="0"/>
        <v>49.107142857142854</v>
      </c>
      <c r="E44" s="11">
        <v>112</v>
      </c>
      <c r="F44" s="24">
        <v>36</v>
      </c>
      <c r="G44" s="12">
        <f t="shared" si="1"/>
        <v>32.142857142857146</v>
      </c>
      <c r="H44" s="9">
        <v>133</v>
      </c>
      <c r="I44" s="24">
        <v>66</v>
      </c>
      <c r="J44" s="10">
        <f t="shared" si="2"/>
        <v>49.624060150375939</v>
      </c>
    </row>
    <row r="45" spans="1:10" ht="29" x14ac:dyDescent="0.45">
      <c r="A45" s="22" t="s">
        <v>13</v>
      </c>
      <c r="B45" s="11">
        <v>403</v>
      </c>
      <c r="C45" s="24">
        <v>256</v>
      </c>
      <c r="D45" s="10">
        <f t="shared" si="0"/>
        <v>63.523573200992558</v>
      </c>
      <c r="E45" s="11">
        <v>403</v>
      </c>
      <c r="F45" s="24">
        <v>186</v>
      </c>
      <c r="G45" s="12">
        <f t="shared" si="1"/>
        <v>46.153846153846153</v>
      </c>
      <c r="H45" s="9">
        <v>254</v>
      </c>
      <c r="I45" s="24">
        <v>610</v>
      </c>
      <c r="J45" s="10">
        <f t="shared" si="2"/>
        <v>240.15748031496065</v>
      </c>
    </row>
  </sheetData>
  <mergeCells count="7">
    <mergeCell ref="A1:J2"/>
    <mergeCell ref="A3:J3"/>
    <mergeCell ref="A4:J4"/>
    <mergeCell ref="A5:A6"/>
    <mergeCell ref="B5:D5"/>
    <mergeCell ref="E5:G5"/>
    <mergeCell ref="H5:J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A648-C8F5-4255-83BB-4B43B7321769}">
  <dimension ref="A1:J45"/>
  <sheetViews>
    <sheetView workbookViewId="0">
      <selection sqref="A1:J45"/>
    </sheetView>
  </sheetViews>
  <sheetFormatPr baseColWidth="10" defaultRowHeight="14.5" x14ac:dyDescent="0.35"/>
  <sheetData>
    <row r="1" spans="1:10" x14ac:dyDescent="0.35">
      <c r="A1" s="37" t="s">
        <v>58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8.5" x14ac:dyDescent="0.3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3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44" t="s">
        <v>2</v>
      </c>
      <c r="B5" s="46" t="s">
        <v>55</v>
      </c>
      <c r="C5" s="47"/>
      <c r="D5" s="48"/>
      <c r="E5" s="46" t="s">
        <v>56</v>
      </c>
      <c r="F5" s="47"/>
      <c r="G5" s="48"/>
      <c r="H5" s="46" t="s">
        <v>57</v>
      </c>
      <c r="I5" s="47"/>
      <c r="J5" s="48"/>
    </row>
    <row r="6" spans="1:10" ht="43.5" x14ac:dyDescent="0.35">
      <c r="A6" s="45"/>
      <c r="B6" s="5" t="s">
        <v>42</v>
      </c>
      <c r="C6" s="23" t="s">
        <v>45</v>
      </c>
      <c r="D6" s="30" t="s">
        <v>44</v>
      </c>
      <c r="E6" s="5" t="s">
        <v>42</v>
      </c>
      <c r="F6" s="23" t="s">
        <v>46</v>
      </c>
      <c r="G6" s="30" t="s">
        <v>44</v>
      </c>
      <c r="H6" s="5" t="s">
        <v>42</v>
      </c>
      <c r="I6" s="23" t="s">
        <v>43</v>
      </c>
      <c r="J6" s="5" t="s">
        <v>44</v>
      </c>
    </row>
    <row r="7" spans="1:10" ht="16.5" x14ac:dyDescent="0.45">
      <c r="A7" s="22" t="s">
        <v>26</v>
      </c>
      <c r="B7" s="11">
        <v>499</v>
      </c>
      <c r="C7" s="24">
        <v>238</v>
      </c>
      <c r="D7" s="10">
        <f t="shared" ref="D7:D45" si="0">SUM(C7/B7*100)</f>
        <v>47.695390781563127</v>
      </c>
      <c r="E7" s="11">
        <v>499</v>
      </c>
      <c r="F7" s="24">
        <v>158</v>
      </c>
      <c r="G7" s="12">
        <f t="shared" ref="G7:G45" si="1">SUM(F7/E7*100)</f>
        <v>31.663326653306612</v>
      </c>
      <c r="H7" s="9">
        <v>560</v>
      </c>
      <c r="I7" s="24">
        <v>233</v>
      </c>
      <c r="J7" s="10">
        <f t="shared" ref="J7:J45" si="2">SUM(I7/H7*100)</f>
        <v>41.607142857142861</v>
      </c>
    </row>
    <row r="8" spans="1:10" ht="16.5" x14ac:dyDescent="0.45">
      <c r="A8" s="22" t="s">
        <v>27</v>
      </c>
      <c r="B8" s="11">
        <v>54</v>
      </c>
      <c r="C8" s="24">
        <v>37</v>
      </c>
      <c r="D8" s="10">
        <f t="shared" si="0"/>
        <v>68.518518518518519</v>
      </c>
      <c r="E8" s="11">
        <v>54</v>
      </c>
      <c r="F8" s="24">
        <v>39</v>
      </c>
      <c r="G8" s="12">
        <f t="shared" si="1"/>
        <v>72.222222222222214</v>
      </c>
      <c r="H8" s="9">
        <v>51</v>
      </c>
      <c r="I8" s="24">
        <v>40</v>
      </c>
      <c r="J8" s="10">
        <f t="shared" si="2"/>
        <v>78.431372549019613</v>
      </c>
    </row>
    <row r="9" spans="1:10" ht="29" x14ac:dyDescent="0.45">
      <c r="A9" s="22" t="s">
        <v>34</v>
      </c>
      <c r="B9" s="11">
        <v>61</v>
      </c>
      <c r="C9" s="24">
        <v>30</v>
      </c>
      <c r="D9" s="10">
        <f t="shared" si="0"/>
        <v>49.180327868852459</v>
      </c>
      <c r="E9" s="11">
        <v>61</v>
      </c>
      <c r="F9" s="24">
        <v>24</v>
      </c>
      <c r="G9" s="12">
        <f t="shared" si="1"/>
        <v>39.344262295081968</v>
      </c>
      <c r="H9" s="11">
        <v>105</v>
      </c>
      <c r="I9" s="24">
        <v>33</v>
      </c>
      <c r="J9" s="10">
        <f t="shared" si="2"/>
        <v>31.428571428571427</v>
      </c>
    </row>
    <row r="10" spans="1:10" ht="16.5" x14ac:dyDescent="0.45">
      <c r="A10" s="22" t="s">
        <v>14</v>
      </c>
      <c r="B10" s="11">
        <v>643</v>
      </c>
      <c r="C10" s="24">
        <v>299</v>
      </c>
      <c r="D10" s="10">
        <f t="shared" si="0"/>
        <v>46.500777604976676</v>
      </c>
      <c r="E10" s="11">
        <v>643</v>
      </c>
      <c r="F10" s="24">
        <v>185</v>
      </c>
      <c r="G10" s="12">
        <f t="shared" si="1"/>
        <v>28.771384136858476</v>
      </c>
      <c r="H10" s="9">
        <v>843</v>
      </c>
      <c r="I10" s="24">
        <v>290</v>
      </c>
      <c r="J10" s="10">
        <f t="shared" si="2"/>
        <v>34.400948991696325</v>
      </c>
    </row>
    <row r="11" spans="1:10" ht="16.5" x14ac:dyDescent="0.45">
      <c r="A11" s="22" t="s">
        <v>3</v>
      </c>
      <c r="B11" s="11">
        <v>8431</v>
      </c>
      <c r="C11" s="25">
        <v>6158</v>
      </c>
      <c r="D11" s="10">
        <f t="shared" si="0"/>
        <v>73.039971533625902</v>
      </c>
      <c r="E11" s="11">
        <v>8431</v>
      </c>
      <c r="F11" s="27">
        <v>6260</v>
      </c>
      <c r="G11" s="12">
        <f t="shared" si="1"/>
        <v>74.249792432688892</v>
      </c>
      <c r="H11" s="8">
        <v>10719</v>
      </c>
      <c r="I11" s="27">
        <v>8687</v>
      </c>
      <c r="J11" s="10">
        <f t="shared" si="2"/>
        <v>81.043007743259636</v>
      </c>
    </row>
    <row r="12" spans="1:10" ht="16.5" x14ac:dyDescent="0.45">
      <c r="A12" s="22" t="s">
        <v>35</v>
      </c>
      <c r="B12" s="11">
        <v>117</v>
      </c>
      <c r="C12" s="24">
        <v>55</v>
      </c>
      <c r="D12" s="10">
        <f t="shared" si="0"/>
        <v>47.008547008547005</v>
      </c>
      <c r="E12" s="11">
        <v>117</v>
      </c>
      <c r="F12" s="24">
        <v>43</v>
      </c>
      <c r="G12" s="12">
        <f t="shared" si="1"/>
        <v>36.752136752136757</v>
      </c>
      <c r="H12" s="9">
        <v>64</v>
      </c>
      <c r="I12" s="24">
        <v>68</v>
      </c>
      <c r="J12" s="10">
        <f t="shared" si="2"/>
        <v>106.25</v>
      </c>
    </row>
    <row r="13" spans="1:10" ht="43.5" x14ac:dyDescent="0.45">
      <c r="A13" s="22" t="s">
        <v>15</v>
      </c>
      <c r="B13" s="11">
        <v>236</v>
      </c>
      <c r="C13" s="24">
        <v>95</v>
      </c>
      <c r="D13" s="10">
        <f t="shared" si="0"/>
        <v>40.254237288135592</v>
      </c>
      <c r="E13" s="11">
        <v>236</v>
      </c>
      <c r="F13" s="24">
        <v>104</v>
      </c>
      <c r="G13" s="12">
        <f t="shared" si="1"/>
        <v>44.067796610169488</v>
      </c>
      <c r="H13" s="9">
        <v>231</v>
      </c>
      <c r="I13" s="24">
        <v>153</v>
      </c>
      <c r="J13" s="10">
        <f t="shared" si="2"/>
        <v>66.233766233766232</v>
      </c>
    </row>
    <row r="14" spans="1:10" ht="29" x14ac:dyDescent="0.45">
      <c r="A14" s="22" t="s">
        <v>16</v>
      </c>
      <c r="B14" s="11">
        <v>5736</v>
      </c>
      <c r="C14" s="24">
        <v>3741</v>
      </c>
      <c r="D14" s="10">
        <f t="shared" si="0"/>
        <v>65.219665271966534</v>
      </c>
      <c r="E14" s="11">
        <v>5736</v>
      </c>
      <c r="F14" s="24">
        <v>2169</v>
      </c>
      <c r="G14" s="12">
        <f t="shared" si="1"/>
        <v>37.813807531380753</v>
      </c>
      <c r="H14" s="9">
        <v>6878</v>
      </c>
      <c r="I14" s="24">
        <v>2118</v>
      </c>
      <c r="J14" s="10">
        <f t="shared" si="2"/>
        <v>30.793835417272465</v>
      </c>
    </row>
    <row r="15" spans="1:10" ht="29" x14ac:dyDescent="0.45">
      <c r="A15" s="22" t="s">
        <v>4</v>
      </c>
      <c r="B15" s="11">
        <v>576</v>
      </c>
      <c r="C15" s="29">
        <v>273</v>
      </c>
      <c r="D15" s="10">
        <f t="shared" si="0"/>
        <v>47.395833333333329</v>
      </c>
      <c r="E15" s="11">
        <v>576</v>
      </c>
      <c r="F15" s="24">
        <v>240</v>
      </c>
      <c r="G15" s="12">
        <f t="shared" si="1"/>
        <v>41.666666666666671</v>
      </c>
      <c r="H15" s="9">
        <v>657</v>
      </c>
      <c r="I15" s="24">
        <v>331</v>
      </c>
      <c r="J15" s="10">
        <f t="shared" si="2"/>
        <v>50.38051750380518</v>
      </c>
    </row>
    <row r="16" spans="1:10" ht="16.5" x14ac:dyDescent="0.45">
      <c r="A16" s="22" t="s">
        <v>28</v>
      </c>
      <c r="B16" s="11">
        <v>137</v>
      </c>
      <c r="C16" s="24">
        <v>40</v>
      </c>
      <c r="D16" s="10">
        <f t="shared" si="0"/>
        <v>29.197080291970799</v>
      </c>
      <c r="E16" s="11">
        <v>137</v>
      </c>
      <c r="F16" s="24">
        <v>40</v>
      </c>
      <c r="G16" s="12">
        <f t="shared" si="1"/>
        <v>29.197080291970799</v>
      </c>
      <c r="H16" s="9">
        <v>184</v>
      </c>
      <c r="I16" s="24">
        <v>37</v>
      </c>
      <c r="J16" s="10">
        <f t="shared" si="2"/>
        <v>20.108695652173914</v>
      </c>
    </row>
    <row r="17" spans="1:10" ht="16.5" x14ac:dyDescent="0.45">
      <c r="A17" s="22" t="s">
        <v>36</v>
      </c>
      <c r="B17" s="11">
        <v>62</v>
      </c>
      <c r="C17" s="24">
        <v>15</v>
      </c>
      <c r="D17" s="10">
        <f t="shared" si="0"/>
        <v>24.193548387096776</v>
      </c>
      <c r="E17" s="11">
        <v>62</v>
      </c>
      <c r="F17" s="24">
        <v>26</v>
      </c>
      <c r="G17" s="12">
        <f t="shared" si="1"/>
        <v>41.935483870967744</v>
      </c>
      <c r="H17" s="9">
        <v>69</v>
      </c>
      <c r="I17" s="24">
        <v>39</v>
      </c>
      <c r="J17" s="10">
        <f t="shared" si="2"/>
        <v>56.521739130434781</v>
      </c>
    </row>
    <row r="18" spans="1:10" ht="16.5" x14ac:dyDescent="0.45">
      <c r="A18" s="22" t="s">
        <v>37</v>
      </c>
      <c r="B18" s="11">
        <v>62</v>
      </c>
      <c r="C18" s="24">
        <v>35</v>
      </c>
      <c r="D18" s="10">
        <f t="shared" si="0"/>
        <v>56.451612903225815</v>
      </c>
      <c r="E18" s="11">
        <v>62</v>
      </c>
      <c r="F18" s="24">
        <v>21</v>
      </c>
      <c r="G18" s="12">
        <f t="shared" si="1"/>
        <v>33.87096774193548</v>
      </c>
      <c r="H18" s="9">
        <v>75</v>
      </c>
      <c r="I18" s="24">
        <v>22</v>
      </c>
      <c r="J18" s="10">
        <f t="shared" si="2"/>
        <v>29.333333333333332</v>
      </c>
    </row>
    <row r="19" spans="1:10" ht="16.5" x14ac:dyDescent="0.45">
      <c r="A19" s="22" t="s">
        <v>17</v>
      </c>
      <c r="B19" s="11">
        <v>2230</v>
      </c>
      <c r="C19" s="24">
        <v>1635</v>
      </c>
      <c r="D19" s="10">
        <f t="shared" si="0"/>
        <v>73.318385650224215</v>
      </c>
      <c r="E19" s="11">
        <v>2230</v>
      </c>
      <c r="F19" s="24">
        <v>1429</v>
      </c>
      <c r="G19" s="12">
        <f t="shared" si="1"/>
        <v>64.080717488789247</v>
      </c>
      <c r="H19" s="9">
        <v>2609</v>
      </c>
      <c r="I19" s="24">
        <v>1471</v>
      </c>
      <c r="J19" s="10">
        <f t="shared" si="2"/>
        <v>56.381755461862781</v>
      </c>
    </row>
    <row r="20" spans="1:10" ht="16.5" x14ac:dyDescent="0.45">
      <c r="A20" s="22" t="s">
        <v>18</v>
      </c>
      <c r="B20" s="11">
        <v>543</v>
      </c>
      <c r="C20" s="24">
        <v>361</v>
      </c>
      <c r="D20" s="10">
        <f t="shared" si="0"/>
        <v>66.482504604051556</v>
      </c>
      <c r="E20" s="11">
        <v>543</v>
      </c>
      <c r="F20" s="24">
        <v>398</v>
      </c>
      <c r="G20" s="12">
        <f t="shared" si="1"/>
        <v>73.296500920810317</v>
      </c>
      <c r="H20" s="9">
        <v>634</v>
      </c>
      <c r="I20" s="24">
        <v>347</v>
      </c>
      <c r="J20" s="10">
        <f t="shared" si="2"/>
        <v>54.731861198738173</v>
      </c>
    </row>
    <row r="21" spans="1:10" ht="16.5" x14ac:dyDescent="0.45">
      <c r="A21" s="22" t="s">
        <v>5</v>
      </c>
      <c r="B21" s="11">
        <v>1425</v>
      </c>
      <c r="C21" s="24">
        <v>714</v>
      </c>
      <c r="D21" s="10">
        <f t="shared" si="0"/>
        <v>50.10526315789474</v>
      </c>
      <c r="E21" s="11">
        <v>1425</v>
      </c>
      <c r="F21" s="24">
        <v>527</v>
      </c>
      <c r="G21" s="12">
        <f t="shared" si="1"/>
        <v>36.982456140350877</v>
      </c>
      <c r="H21" s="9">
        <v>1082</v>
      </c>
      <c r="I21" s="24">
        <v>774</v>
      </c>
      <c r="J21" s="10">
        <f t="shared" si="2"/>
        <v>71.534195933456559</v>
      </c>
    </row>
    <row r="22" spans="1:10" ht="16.5" x14ac:dyDescent="0.45">
      <c r="A22" s="22" t="s">
        <v>19</v>
      </c>
      <c r="B22" s="11">
        <v>284</v>
      </c>
      <c r="C22" s="24">
        <v>132</v>
      </c>
      <c r="D22" s="10">
        <f t="shared" si="0"/>
        <v>46.478873239436616</v>
      </c>
      <c r="E22" s="11">
        <v>284</v>
      </c>
      <c r="F22" s="24">
        <v>112</v>
      </c>
      <c r="G22" s="12">
        <f t="shared" si="1"/>
        <v>39.436619718309856</v>
      </c>
      <c r="H22" s="9">
        <v>376</v>
      </c>
      <c r="I22" s="24">
        <v>212</v>
      </c>
      <c r="J22" s="10">
        <f t="shared" si="2"/>
        <v>56.38297872340425</v>
      </c>
    </row>
    <row r="23" spans="1:10" ht="29" x14ac:dyDescent="0.45">
      <c r="A23" s="22" t="s">
        <v>6</v>
      </c>
      <c r="B23" s="11">
        <v>488</v>
      </c>
      <c r="C23" s="24">
        <v>123</v>
      </c>
      <c r="D23" s="10">
        <f t="shared" si="0"/>
        <v>25.204918032786882</v>
      </c>
      <c r="E23" s="11">
        <v>488</v>
      </c>
      <c r="F23" s="24">
        <v>129</v>
      </c>
      <c r="G23" s="12">
        <f t="shared" si="1"/>
        <v>26.434426229508194</v>
      </c>
      <c r="H23" s="9">
        <v>514</v>
      </c>
      <c r="I23" s="24">
        <v>208</v>
      </c>
      <c r="J23" s="10">
        <f t="shared" si="2"/>
        <v>40.466926070038909</v>
      </c>
    </row>
    <row r="24" spans="1:10" ht="16.5" x14ac:dyDescent="0.45">
      <c r="A24" s="22" t="s">
        <v>29</v>
      </c>
      <c r="B24" s="11">
        <v>443</v>
      </c>
      <c r="C24" s="24">
        <v>370</v>
      </c>
      <c r="D24" s="10">
        <f t="shared" si="0"/>
        <v>83.521444695259589</v>
      </c>
      <c r="E24" s="11">
        <v>443</v>
      </c>
      <c r="F24" s="24">
        <v>376</v>
      </c>
      <c r="G24" s="12">
        <f t="shared" si="1"/>
        <v>84.875846501128677</v>
      </c>
      <c r="H24" s="9">
        <v>425</v>
      </c>
      <c r="I24" s="24">
        <v>302</v>
      </c>
      <c r="J24" s="10">
        <f t="shared" si="2"/>
        <v>71.058823529411768</v>
      </c>
    </row>
    <row r="25" spans="1:10" ht="16.5" x14ac:dyDescent="0.45">
      <c r="A25" s="22" t="s">
        <v>38</v>
      </c>
      <c r="B25" s="11">
        <v>130</v>
      </c>
      <c r="C25" s="24">
        <v>37</v>
      </c>
      <c r="D25" s="10">
        <f t="shared" si="0"/>
        <v>28.46153846153846</v>
      </c>
      <c r="E25" s="11">
        <v>130</v>
      </c>
      <c r="F25" s="24">
        <v>27</v>
      </c>
      <c r="G25" s="12">
        <f t="shared" si="1"/>
        <v>20.76923076923077</v>
      </c>
      <c r="H25" s="9">
        <v>123</v>
      </c>
      <c r="I25" s="24">
        <v>61</v>
      </c>
      <c r="J25" s="10">
        <f t="shared" si="2"/>
        <v>49.59349593495935</v>
      </c>
    </row>
    <row r="26" spans="1:10" ht="16.5" x14ac:dyDescent="0.45">
      <c r="A26" s="22" t="s">
        <v>30</v>
      </c>
      <c r="B26" s="11">
        <v>99</v>
      </c>
      <c r="C26" s="24">
        <v>40</v>
      </c>
      <c r="D26" s="10">
        <f t="shared" si="0"/>
        <v>40.404040404040401</v>
      </c>
      <c r="E26" s="11">
        <v>99</v>
      </c>
      <c r="F26" s="24">
        <v>26</v>
      </c>
      <c r="G26" s="12">
        <f t="shared" si="1"/>
        <v>26.262626262626267</v>
      </c>
      <c r="H26" s="9">
        <v>95</v>
      </c>
      <c r="I26" s="24">
        <v>27</v>
      </c>
      <c r="J26" s="10">
        <f t="shared" si="2"/>
        <v>28.421052631578945</v>
      </c>
    </row>
    <row r="27" spans="1:10" ht="29" x14ac:dyDescent="0.45">
      <c r="A27" s="22" t="s">
        <v>7</v>
      </c>
      <c r="B27" s="11">
        <v>224</v>
      </c>
      <c r="C27" s="24">
        <v>72</v>
      </c>
      <c r="D27" s="10">
        <f t="shared" si="0"/>
        <v>32.142857142857146</v>
      </c>
      <c r="E27" s="11">
        <v>224</v>
      </c>
      <c r="F27" s="24">
        <v>112</v>
      </c>
      <c r="G27" s="12">
        <f t="shared" si="1"/>
        <v>50</v>
      </c>
      <c r="H27" s="9">
        <v>243</v>
      </c>
      <c r="I27" s="24">
        <v>192</v>
      </c>
      <c r="J27" s="10">
        <f t="shared" si="2"/>
        <v>79.012345679012341</v>
      </c>
    </row>
    <row r="28" spans="1:10" ht="29" x14ac:dyDescent="0.45">
      <c r="A28" s="22" t="s">
        <v>20</v>
      </c>
      <c r="B28" s="11">
        <v>220</v>
      </c>
      <c r="C28" s="24">
        <v>79</v>
      </c>
      <c r="D28" s="10">
        <f t="shared" si="0"/>
        <v>35.909090909090907</v>
      </c>
      <c r="E28" s="11">
        <v>220</v>
      </c>
      <c r="F28" s="24">
        <v>97</v>
      </c>
      <c r="G28" s="12">
        <f t="shared" si="1"/>
        <v>44.090909090909093</v>
      </c>
      <c r="H28" s="9">
        <v>212</v>
      </c>
      <c r="I28" s="24">
        <v>245</v>
      </c>
      <c r="J28" s="10">
        <f t="shared" si="2"/>
        <v>115.56603773584906</v>
      </c>
    </row>
    <row r="29" spans="1:10" ht="16.5" x14ac:dyDescent="0.45">
      <c r="A29" s="22" t="s">
        <v>8</v>
      </c>
      <c r="B29" s="11">
        <v>135</v>
      </c>
      <c r="C29" s="24">
        <v>78</v>
      </c>
      <c r="D29" s="10">
        <f t="shared" si="0"/>
        <v>57.777777777777771</v>
      </c>
      <c r="E29" s="11">
        <v>135</v>
      </c>
      <c r="F29" s="24">
        <v>66</v>
      </c>
      <c r="G29" s="12">
        <f t="shared" si="1"/>
        <v>48.888888888888886</v>
      </c>
      <c r="H29" s="9">
        <v>190</v>
      </c>
      <c r="I29" s="24">
        <v>129</v>
      </c>
      <c r="J29" s="10">
        <f t="shared" si="2"/>
        <v>67.89473684210526</v>
      </c>
    </row>
    <row r="30" spans="1:10" ht="29" x14ac:dyDescent="0.45">
      <c r="A30" s="22" t="s">
        <v>9</v>
      </c>
      <c r="B30" s="11">
        <v>1283</v>
      </c>
      <c r="C30" s="24">
        <v>408</v>
      </c>
      <c r="D30" s="10">
        <f t="shared" si="0"/>
        <v>31.800467653936089</v>
      </c>
      <c r="E30" s="11">
        <v>1283</v>
      </c>
      <c r="F30" s="24">
        <v>331</v>
      </c>
      <c r="G30" s="12">
        <f t="shared" si="1"/>
        <v>25.798908807482462</v>
      </c>
      <c r="H30" s="9">
        <v>1399</v>
      </c>
      <c r="I30" s="24">
        <v>513</v>
      </c>
      <c r="J30" s="10">
        <f t="shared" si="2"/>
        <v>36.669049320943529</v>
      </c>
    </row>
    <row r="31" spans="1:10" ht="16.5" x14ac:dyDescent="0.45">
      <c r="A31" s="22" t="s">
        <v>39</v>
      </c>
      <c r="B31" s="11">
        <v>259</v>
      </c>
      <c r="C31" s="24">
        <v>98</v>
      </c>
      <c r="D31" s="10">
        <f t="shared" si="0"/>
        <v>37.837837837837839</v>
      </c>
      <c r="E31" s="11">
        <v>259</v>
      </c>
      <c r="F31" s="24">
        <v>105</v>
      </c>
      <c r="G31" s="12">
        <f t="shared" si="1"/>
        <v>40.54054054054054</v>
      </c>
      <c r="H31" s="9">
        <v>208</v>
      </c>
      <c r="I31" s="24">
        <v>85</v>
      </c>
      <c r="J31" s="10">
        <f t="shared" si="2"/>
        <v>40.865384615384613</v>
      </c>
    </row>
    <row r="32" spans="1:10" ht="29" x14ac:dyDescent="0.45">
      <c r="A32" s="22" t="s">
        <v>40</v>
      </c>
      <c r="B32" s="11">
        <v>36</v>
      </c>
      <c r="C32" s="24">
        <v>5</v>
      </c>
      <c r="D32" s="10">
        <f t="shared" si="0"/>
        <v>13.888888888888889</v>
      </c>
      <c r="E32" s="11">
        <v>36</v>
      </c>
      <c r="F32" s="24">
        <v>4</v>
      </c>
      <c r="G32" s="12">
        <f t="shared" si="1"/>
        <v>11.111111111111111</v>
      </c>
      <c r="H32" s="9">
        <v>36</v>
      </c>
      <c r="I32" s="24">
        <v>13</v>
      </c>
      <c r="J32" s="10">
        <f t="shared" si="2"/>
        <v>36.111111111111107</v>
      </c>
    </row>
    <row r="33" spans="1:10" ht="16.5" x14ac:dyDescent="0.45">
      <c r="A33" s="22" t="s">
        <v>10</v>
      </c>
      <c r="B33" s="11">
        <v>581</v>
      </c>
      <c r="C33" s="24">
        <v>145</v>
      </c>
      <c r="D33" s="10">
        <f t="shared" si="0"/>
        <v>24.956970740103269</v>
      </c>
      <c r="E33" s="11">
        <v>581</v>
      </c>
      <c r="F33" s="24">
        <v>166</v>
      </c>
      <c r="G33" s="12">
        <f t="shared" si="1"/>
        <v>28.571428571428569</v>
      </c>
      <c r="H33" s="9">
        <v>608</v>
      </c>
      <c r="I33" s="24">
        <v>161</v>
      </c>
      <c r="J33" s="10">
        <f t="shared" si="2"/>
        <v>26.480263157894733</v>
      </c>
    </row>
    <row r="34" spans="1:10" ht="29" x14ac:dyDescent="0.45">
      <c r="A34" s="22" t="s">
        <v>41</v>
      </c>
      <c r="B34" s="11">
        <v>129</v>
      </c>
      <c r="C34" s="24">
        <v>61</v>
      </c>
      <c r="D34" s="10">
        <f t="shared" si="0"/>
        <v>47.286821705426355</v>
      </c>
      <c r="E34" s="11">
        <v>129</v>
      </c>
      <c r="F34" s="24">
        <v>81</v>
      </c>
      <c r="G34" s="12">
        <f t="shared" si="1"/>
        <v>62.790697674418603</v>
      </c>
      <c r="H34" s="9">
        <v>153</v>
      </c>
      <c r="I34" s="24">
        <v>92</v>
      </c>
      <c r="J34" s="10">
        <f t="shared" si="2"/>
        <v>60.130718954248366</v>
      </c>
    </row>
    <row r="35" spans="1:10" ht="29" x14ac:dyDescent="0.45">
      <c r="A35" s="22" t="s">
        <v>21</v>
      </c>
      <c r="B35" s="11">
        <v>228</v>
      </c>
      <c r="C35" s="24">
        <v>60</v>
      </c>
      <c r="D35" s="10">
        <f t="shared" si="0"/>
        <v>26.315789473684209</v>
      </c>
      <c r="E35" s="11">
        <v>228</v>
      </c>
      <c r="F35" s="24">
        <v>51</v>
      </c>
      <c r="G35" s="12">
        <f t="shared" si="1"/>
        <v>22.368421052631579</v>
      </c>
      <c r="H35" s="9">
        <v>219</v>
      </c>
      <c r="I35" s="24">
        <v>63</v>
      </c>
      <c r="J35" s="10">
        <f t="shared" si="2"/>
        <v>28.767123287671232</v>
      </c>
    </row>
    <row r="36" spans="1:10" ht="29" x14ac:dyDescent="0.45">
      <c r="A36" s="22" t="s">
        <v>22</v>
      </c>
      <c r="B36" s="11">
        <v>33</v>
      </c>
      <c r="C36" s="24">
        <v>34</v>
      </c>
      <c r="D36" s="10">
        <f t="shared" si="0"/>
        <v>103.03030303030303</v>
      </c>
      <c r="E36" s="11">
        <v>33</v>
      </c>
      <c r="F36" s="24">
        <v>15</v>
      </c>
      <c r="G36" s="12">
        <f t="shared" si="1"/>
        <v>45.454545454545453</v>
      </c>
      <c r="H36" s="9">
        <v>38</v>
      </c>
      <c r="I36" s="24">
        <v>11</v>
      </c>
      <c r="J36" s="10">
        <f t="shared" si="2"/>
        <v>28.947368421052634</v>
      </c>
    </row>
    <row r="37" spans="1:10" ht="29" x14ac:dyDescent="0.45">
      <c r="A37" s="22" t="s">
        <v>23</v>
      </c>
      <c r="B37" s="11">
        <v>38</v>
      </c>
      <c r="C37" s="24">
        <v>14</v>
      </c>
      <c r="D37" s="10">
        <f t="shared" si="0"/>
        <v>36.84210526315789</v>
      </c>
      <c r="E37" s="11">
        <v>38</v>
      </c>
      <c r="F37" s="24">
        <v>6</v>
      </c>
      <c r="G37" s="12">
        <f t="shared" si="1"/>
        <v>15.789473684210526</v>
      </c>
      <c r="H37" s="9">
        <v>41</v>
      </c>
      <c r="I37" s="24">
        <v>16</v>
      </c>
      <c r="J37" s="10">
        <f t="shared" si="2"/>
        <v>39.024390243902438</v>
      </c>
    </row>
    <row r="38" spans="1:10" ht="16.5" x14ac:dyDescent="0.45">
      <c r="A38" s="22" t="s">
        <v>24</v>
      </c>
      <c r="B38" s="11">
        <v>130</v>
      </c>
      <c r="C38" s="24">
        <v>34</v>
      </c>
      <c r="D38" s="10">
        <f t="shared" si="0"/>
        <v>26.153846153846157</v>
      </c>
      <c r="E38" s="11">
        <v>130</v>
      </c>
      <c r="F38" s="24">
        <v>45</v>
      </c>
      <c r="G38" s="12">
        <f t="shared" si="1"/>
        <v>34.615384615384613</v>
      </c>
      <c r="H38" s="9">
        <v>140</v>
      </c>
      <c r="I38" s="24">
        <v>66</v>
      </c>
      <c r="J38" s="10">
        <f t="shared" si="2"/>
        <v>47.142857142857139</v>
      </c>
    </row>
    <row r="39" spans="1:10" ht="43.5" x14ac:dyDescent="0.45">
      <c r="A39" s="22" t="s">
        <v>31</v>
      </c>
      <c r="B39" s="11">
        <v>1467</v>
      </c>
      <c r="C39" s="24">
        <v>417</v>
      </c>
      <c r="D39" s="10">
        <f t="shared" si="0"/>
        <v>28.425357873210633</v>
      </c>
      <c r="E39" s="11">
        <v>1467</v>
      </c>
      <c r="F39" s="24">
        <v>434</v>
      </c>
      <c r="G39" s="12">
        <f t="shared" si="1"/>
        <v>29.584185412406271</v>
      </c>
      <c r="H39" s="9">
        <v>1144</v>
      </c>
      <c r="I39" s="24">
        <v>328</v>
      </c>
      <c r="J39" s="10">
        <f t="shared" si="2"/>
        <v>28.671328671328673</v>
      </c>
    </row>
    <row r="40" spans="1:10" ht="16.5" x14ac:dyDescent="0.45">
      <c r="A40" s="22" t="s">
        <v>11</v>
      </c>
      <c r="B40" s="11">
        <v>166</v>
      </c>
      <c r="C40" s="24">
        <v>46</v>
      </c>
      <c r="D40" s="10">
        <f t="shared" si="0"/>
        <v>27.710843373493976</v>
      </c>
      <c r="E40" s="11">
        <v>166</v>
      </c>
      <c r="F40" s="24">
        <v>62</v>
      </c>
      <c r="G40" s="12">
        <f t="shared" si="1"/>
        <v>37.349397590361441</v>
      </c>
      <c r="H40" s="9">
        <v>177</v>
      </c>
      <c r="I40" s="24">
        <v>74</v>
      </c>
      <c r="J40" s="10">
        <f t="shared" si="2"/>
        <v>41.807909604519772</v>
      </c>
    </row>
    <row r="41" spans="1:10" ht="16.5" x14ac:dyDescent="0.45">
      <c r="A41" s="22" t="s">
        <v>12</v>
      </c>
      <c r="B41" s="11">
        <v>952</v>
      </c>
      <c r="C41" s="24">
        <v>137</v>
      </c>
      <c r="D41" s="10">
        <f t="shared" si="0"/>
        <v>14.390756302521007</v>
      </c>
      <c r="E41" s="11">
        <v>952</v>
      </c>
      <c r="F41" s="24">
        <v>126</v>
      </c>
      <c r="G41" s="12">
        <f t="shared" si="1"/>
        <v>13.23529411764706</v>
      </c>
      <c r="H41" s="9">
        <v>851</v>
      </c>
      <c r="I41" s="24">
        <v>153</v>
      </c>
      <c r="J41" s="10">
        <f t="shared" si="2"/>
        <v>17.97884841363102</v>
      </c>
    </row>
    <row r="42" spans="1:10" ht="29" x14ac:dyDescent="0.45">
      <c r="A42" s="22" t="s">
        <v>32</v>
      </c>
      <c r="B42" s="11">
        <v>30</v>
      </c>
      <c r="C42" s="24">
        <v>61</v>
      </c>
      <c r="D42" s="10">
        <f t="shared" si="0"/>
        <v>203.33333333333331</v>
      </c>
      <c r="E42" s="11">
        <v>30</v>
      </c>
      <c r="F42" s="24">
        <v>45</v>
      </c>
      <c r="G42" s="12">
        <f t="shared" si="1"/>
        <v>150</v>
      </c>
      <c r="H42" s="9">
        <v>50</v>
      </c>
      <c r="I42" s="24">
        <v>60</v>
      </c>
      <c r="J42" s="10">
        <f t="shared" si="2"/>
        <v>120</v>
      </c>
    </row>
    <row r="43" spans="1:10" ht="16.5" x14ac:dyDescent="0.45">
      <c r="A43" s="22" t="s">
        <v>25</v>
      </c>
      <c r="B43" s="11">
        <v>278</v>
      </c>
      <c r="C43" s="24">
        <v>195</v>
      </c>
      <c r="D43" s="10">
        <f t="shared" si="0"/>
        <v>70.143884892086334</v>
      </c>
      <c r="E43" s="11">
        <v>278</v>
      </c>
      <c r="F43" s="24">
        <v>217</v>
      </c>
      <c r="G43" s="12">
        <f t="shared" si="1"/>
        <v>78.057553956834539</v>
      </c>
      <c r="H43" s="9">
        <v>348</v>
      </c>
      <c r="I43" s="24">
        <v>255</v>
      </c>
      <c r="J43" s="10">
        <f t="shared" si="2"/>
        <v>73.275862068965509</v>
      </c>
    </row>
    <row r="44" spans="1:10" ht="16.5" x14ac:dyDescent="0.45">
      <c r="A44" s="22" t="s">
        <v>33</v>
      </c>
      <c r="B44" s="11">
        <v>112</v>
      </c>
      <c r="C44" s="24">
        <v>55</v>
      </c>
      <c r="D44" s="10">
        <f t="shared" si="0"/>
        <v>49.107142857142854</v>
      </c>
      <c r="E44" s="11">
        <v>112</v>
      </c>
      <c r="F44" s="24">
        <v>36</v>
      </c>
      <c r="G44" s="12">
        <f t="shared" si="1"/>
        <v>32.142857142857146</v>
      </c>
      <c r="H44" s="9">
        <v>133</v>
      </c>
      <c r="I44" s="24">
        <v>67</v>
      </c>
      <c r="J44" s="10">
        <f t="shared" si="2"/>
        <v>50.375939849624061</v>
      </c>
    </row>
    <row r="45" spans="1:10" ht="29" x14ac:dyDescent="0.45">
      <c r="A45" s="22" t="s">
        <v>13</v>
      </c>
      <c r="B45" s="11">
        <v>403</v>
      </c>
      <c r="C45" s="24">
        <v>260</v>
      </c>
      <c r="D45" s="10">
        <f t="shared" si="0"/>
        <v>64.516129032258064</v>
      </c>
      <c r="E45" s="11">
        <v>403</v>
      </c>
      <c r="F45" s="24">
        <v>189</v>
      </c>
      <c r="G45" s="12">
        <f t="shared" si="1"/>
        <v>46.898263027295286</v>
      </c>
      <c r="H45" s="9">
        <v>254</v>
      </c>
      <c r="I45" s="24">
        <v>612</v>
      </c>
      <c r="J45" s="10">
        <f t="shared" si="2"/>
        <v>240.94488188976379</v>
      </c>
    </row>
  </sheetData>
  <mergeCells count="7">
    <mergeCell ref="A1:J2"/>
    <mergeCell ref="A3:J3"/>
    <mergeCell ref="A4:J4"/>
    <mergeCell ref="A5:A6"/>
    <mergeCell ref="B5:D5"/>
    <mergeCell ref="E5:G5"/>
    <mergeCell ref="H5:J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A337-B444-4FE8-BB90-500D1159CF8D}">
  <dimension ref="A1:J45"/>
  <sheetViews>
    <sheetView topLeftCell="A7" workbookViewId="0">
      <selection activeCell="L24" sqref="L24"/>
    </sheetView>
  </sheetViews>
  <sheetFormatPr baseColWidth="10" defaultRowHeight="14.5" x14ac:dyDescent="0.35"/>
  <sheetData>
    <row r="1" spans="1:10" x14ac:dyDescent="0.35">
      <c r="A1" s="37" t="s">
        <v>58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8.5" x14ac:dyDescent="0.3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3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44" t="s">
        <v>2</v>
      </c>
      <c r="B5" s="46" t="s">
        <v>55</v>
      </c>
      <c r="C5" s="47"/>
      <c r="D5" s="48"/>
      <c r="E5" s="46" t="s">
        <v>56</v>
      </c>
      <c r="F5" s="47"/>
      <c r="G5" s="48"/>
      <c r="H5" s="46" t="s">
        <v>57</v>
      </c>
      <c r="I5" s="47"/>
      <c r="J5" s="48"/>
    </row>
    <row r="6" spans="1:10" ht="43.5" x14ac:dyDescent="0.35">
      <c r="A6" s="45"/>
      <c r="B6" s="5" t="s">
        <v>42</v>
      </c>
      <c r="C6" s="23" t="s">
        <v>45</v>
      </c>
      <c r="D6" s="30" t="s">
        <v>44</v>
      </c>
      <c r="E6" s="5" t="s">
        <v>42</v>
      </c>
      <c r="F6" s="23" t="s">
        <v>46</v>
      </c>
      <c r="G6" s="30" t="s">
        <v>44</v>
      </c>
      <c r="H6" s="5" t="s">
        <v>42</v>
      </c>
      <c r="I6" s="23" t="s">
        <v>43</v>
      </c>
      <c r="J6" s="5" t="s">
        <v>44</v>
      </c>
    </row>
    <row r="7" spans="1:10" ht="16.5" x14ac:dyDescent="0.45">
      <c r="A7" s="22" t="s">
        <v>26</v>
      </c>
      <c r="B7" s="11">
        <v>499</v>
      </c>
      <c r="C7" s="24">
        <v>242</v>
      </c>
      <c r="D7" s="10">
        <f t="shared" ref="D7:D45" si="0">SUM(C7/B7*100)</f>
        <v>48.496993987975948</v>
      </c>
      <c r="E7" s="11">
        <v>499</v>
      </c>
      <c r="F7" s="24">
        <v>162</v>
      </c>
      <c r="G7" s="12">
        <f t="shared" ref="G7:G45" si="1">SUM(F7/E7*100)</f>
        <v>32.46492985971944</v>
      </c>
      <c r="H7" s="9">
        <v>560</v>
      </c>
      <c r="I7" s="24">
        <v>236</v>
      </c>
      <c r="J7" s="10">
        <f t="shared" ref="J7:J45" si="2">SUM(I7/H7*100)</f>
        <v>42.142857142857146</v>
      </c>
    </row>
    <row r="8" spans="1:10" ht="16.5" x14ac:dyDescent="0.45">
      <c r="A8" s="22" t="s">
        <v>27</v>
      </c>
      <c r="B8" s="11">
        <v>54</v>
      </c>
      <c r="C8" s="24">
        <v>38</v>
      </c>
      <c r="D8" s="10">
        <f t="shared" si="0"/>
        <v>70.370370370370367</v>
      </c>
      <c r="E8" s="11">
        <v>54</v>
      </c>
      <c r="F8" s="24">
        <v>39</v>
      </c>
      <c r="G8" s="12">
        <f t="shared" si="1"/>
        <v>72.222222222222214</v>
      </c>
      <c r="H8" s="9">
        <v>51</v>
      </c>
      <c r="I8" s="24">
        <v>40</v>
      </c>
      <c r="J8" s="10">
        <f t="shared" si="2"/>
        <v>78.431372549019613</v>
      </c>
    </row>
    <row r="9" spans="1:10" ht="29" x14ac:dyDescent="0.45">
      <c r="A9" s="22" t="s">
        <v>34</v>
      </c>
      <c r="B9" s="11">
        <v>61</v>
      </c>
      <c r="C9" s="24">
        <v>30</v>
      </c>
      <c r="D9" s="10">
        <f t="shared" si="0"/>
        <v>49.180327868852459</v>
      </c>
      <c r="E9" s="11">
        <v>61</v>
      </c>
      <c r="F9" s="24">
        <v>25</v>
      </c>
      <c r="G9" s="12">
        <f t="shared" si="1"/>
        <v>40.983606557377051</v>
      </c>
      <c r="H9" s="11">
        <v>105</v>
      </c>
      <c r="I9" s="24">
        <v>34</v>
      </c>
      <c r="J9" s="10">
        <f t="shared" si="2"/>
        <v>32.38095238095238</v>
      </c>
    </row>
    <row r="10" spans="1:10" ht="16.5" x14ac:dyDescent="0.45">
      <c r="A10" s="22" t="s">
        <v>14</v>
      </c>
      <c r="B10" s="11">
        <v>643</v>
      </c>
      <c r="C10" s="24">
        <v>299</v>
      </c>
      <c r="D10" s="10">
        <f t="shared" si="0"/>
        <v>46.500777604976676</v>
      </c>
      <c r="E10" s="11">
        <v>643</v>
      </c>
      <c r="F10" s="24">
        <v>185</v>
      </c>
      <c r="G10" s="12">
        <f t="shared" si="1"/>
        <v>28.771384136858476</v>
      </c>
      <c r="H10" s="9">
        <v>843</v>
      </c>
      <c r="I10" s="24">
        <v>290</v>
      </c>
      <c r="J10" s="10">
        <f t="shared" si="2"/>
        <v>34.400948991696325</v>
      </c>
    </row>
    <row r="11" spans="1:10" ht="16.5" x14ac:dyDescent="0.45">
      <c r="A11" s="22" t="s">
        <v>3</v>
      </c>
      <c r="B11" s="11">
        <v>8431</v>
      </c>
      <c r="C11" s="25">
        <v>6290</v>
      </c>
      <c r="D11" s="10">
        <f t="shared" si="0"/>
        <v>74.605622108883878</v>
      </c>
      <c r="E11" s="11">
        <v>8431</v>
      </c>
      <c r="F11" s="27">
        <v>6408</v>
      </c>
      <c r="G11" s="12">
        <f t="shared" si="1"/>
        <v>76.005218835250872</v>
      </c>
      <c r="H11" s="8">
        <v>10719</v>
      </c>
      <c r="I11" s="27">
        <v>8738</v>
      </c>
      <c r="J11" s="10">
        <f t="shared" si="2"/>
        <v>81.518798395372698</v>
      </c>
    </row>
    <row r="12" spans="1:10" ht="16.5" x14ac:dyDescent="0.45">
      <c r="A12" s="22" t="s">
        <v>35</v>
      </c>
      <c r="B12" s="11">
        <v>117</v>
      </c>
      <c r="C12" s="24">
        <v>57</v>
      </c>
      <c r="D12" s="10">
        <f t="shared" si="0"/>
        <v>48.717948717948715</v>
      </c>
      <c r="E12" s="11">
        <v>117</v>
      </c>
      <c r="F12" s="24">
        <v>43</v>
      </c>
      <c r="G12" s="12">
        <f t="shared" si="1"/>
        <v>36.752136752136757</v>
      </c>
      <c r="H12" s="9">
        <v>64</v>
      </c>
      <c r="I12" s="24">
        <v>69</v>
      </c>
      <c r="J12" s="10">
        <f t="shared" si="2"/>
        <v>107.8125</v>
      </c>
    </row>
    <row r="13" spans="1:10" ht="43.5" x14ac:dyDescent="0.45">
      <c r="A13" s="22" t="s">
        <v>15</v>
      </c>
      <c r="B13" s="11">
        <v>236</v>
      </c>
      <c r="C13" s="24">
        <v>97</v>
      </c>
      <c r="D13" s="10">
        <f t="shared" si="0"/>
        <v>41.101694915254242</v>
      </c>
      <c r="E13" s="11">
        <v>236</v>
      </c>
      <c r="F13" s="24">
        <v>105</v>
      </c>
      <c r="G13" s="12">
        <f t="shared" si="1"/>
        <v>44.49152542372881</v>
      </c>
      <c r="H13" s="9">
        <v>231</v>
      </c>
      <c r="I13" s="24">
        <v>155</v>
      </c>
      <c r="J13" s="10">
        <f t="shared" si="2"/>
        <v>67.099567099567111</v>
      </c>
    </row>
    <row r="14" spans="1:10" ht="29" x14ac:dyDescent="0.45">
      <c r="A14" s="22" t="s">
        <v>16</v>
      </c>
      <c r="B14" s="11">
        <v>5736</v>
      </c>
      <c r="C14" s="24">
        <v>3848</v>
      </c>
      <c r="D14" s="10">
        <f t="shared" si="0"/>
        <v>67.085076708507671</v>
      </c>
      <c r="E14" s="11">
        <v>5736</v>
      </c>
      <c r="F14" s="24">
        <v>2333</v>
      </c>
      <c r="G14" s="12">
        <f t="shared" si="1"/>
        <v>40.672942817294285</v>
      </c>
      <c r="H14" s="9">
        <v>6878</v>
      </c>
      <c r="I14" s="24">
        <v>2171</v>
      </c>
      <c r="J14" s="10">
        <f t="shared" si="2"/>
        <v>31.564408258214598</v>
      </c>
    </row>
    <row r="15" spans="1:10" ht="29" x14ac:dyDescent="0.45">
      <c r="A15" s="22" t="s">
        <v>4</v>
      </c>
      <c r="B15" s="11">
        <v>576</v>
      </c>
      <c r="C15" s="29">
        <v>279</v>
      </c>
      <c r="D15" s="10">
        <f t="shared" si="0"/>
        <v>48.4375</v>
      </c>
      <c r="E15" s="11">
        <v>576</v>
      </c>
      <c r="F15" s="24">
        <v>245</v>
      </c>
      <c r="G15" s="12">
        <f t="shared" si="1"/>
        <v>42.534722222222221</v>
      </c>
      <c r="H15" s="9">
        <v>657</v>
      </c>
      <c r="I15" s="24">
        <v>338</v>
      </c>
      <c r="J15" s="10">
        <f t="shared" si="2"/>
        <v>51.445966514459663</v>
      </c>
    </row>
    <row r="16" spans="1:10" ht="16.5" x14ac:dyDescent="0.45">
      <c r="A16" s="22" t="s">
        <v>28</v>
      </c>
      <c r="B16" s="11">
        <v>137</v>
      </c>
      <c r="C16" s="24">
        <v>41</v>
      </c>
      <c r="D16" s="10">
        <f t="shared" si="0"/>
        <v>29.927007299270077</v>
      </c>
      <c r="E16" s="11">
        <v>137</v>
      </c>
      <c r="F16" s="24">
        <v>42</v>
      </c>
      <c r="G16" s="12">
        <f t="shared" si="1"/>
        <v>30.656934306569344</v>
      </c>
      <c r="H16" s="9">
        <v>184</v>
      </c>
      <c r="I16" s="24">
        <v>53</v>
      </c>
      <c r="J16" s="10">
        <f t="shared" si="2"/>
        <v>28.804347826086957</v>
      </c>
    </row>
    <row r="17" spans="1:10" ht="16.5" x14ac:dyDescent="0.45">
      <c r="A17" s="22" t="s">
        <v>36</v>
      </c>
      <c r="B17" s="11">
        <v>62</v>
      </c>
      <c r="C17" s="24">
        <v>15</v>
      </c>
      <c r="D17" s="10">
        <f t="shared" si="0"/>
        <v>24.193548387096776</v>
      </c>
      <c r="E17" s="11">
        <v>62</v>
      </c>
      <c r="F17" s="24">
        <v>26</v>
      </c>
      <c r="G17" s="12">
        <f t="shared" si="1"/>
        <v>41.935483870967744</v>
      </c>
      <c r="H17" s="9">
        <v>69</v>
      </c>
      <c r="I17" s="24">
        <v>39</v>
      </c>
      <c r="J17" s="10">
        <f t="shared" si="2"/>
        <v>56.521739130434781</v>
      </c>
    </row>
    <row r="18" spans="1:10" ht="16.5" x14ac:dyDescent="0.45">
      <c r="A18" s="22" t="s">
        <v>37</v>
      </c>
      <c r="B18" s="11">
        <v>62</v>
      </c>
      <c r="C18" s="24">
        <v>35</v>
      </c>
      <c r="D18" s="10">
        <f t="shared" si="0"/>
        <v>56.451612903225815</v>
      </c>
      <c r="E18" s="11">
        <v>62</v>
      </c>
      <c r="F18" s="24">
        <v>21</v>
      </c>
      <c r="G18" s="12">
        <f t="shared" si="1"/>
        <v>33.87096774193548</v>
      </c>
      <c r="H18" s="9">
        <v>75</v>
      </c>
      <c r="I18" s="24">
        <v>22</v>
      </c>
      <c r="J18" s="10">
        <f t="shared" si="2"/>
        <v>29.333333333333332</v>
      </c>
    </row>
    <row r="19" spans="1:10" ht="16.5" x14ac:dyDescent="0.45">
      <c r="A19" s="22" t="s">
        <v>17</v>
      </c>
      <c r="B19" s="11">
        <v>2230</v>
      </c>
      <c r="C19" s="24">
        <v>1680</v>
      </c>
      <c r="D19" s="10">
        <f t="shared" si="0"/>
        <v>75.336322869955154</v>
      </c>
      <c r="E19" s="11">
        <v>2230</v>
      </c>
      <c r="F19" s="24">
        <v>1457</v>
      </c>
      <c r="G19" s="12">
        <f t="shared" si="1"/>
        <v>65.336322869955154</v>
      </c>
      <c r="H19" s="9">
        <v>2609</v>
      </c>
      <c r="I19" s="24">
        <v>1492</v>
      </c>
      <c r="J19" s="10">
        <f t="shared" si="2"/>
        <v>57.186661556151783</v>
      </c>
    </row>
    <row r="20" spans="1:10" ht="16.5" x14ac:dyDescent="0.45">
      <c r="A20" s="22" t="s">
        <v>18</v>
      </c>
      <c r="B20" s="11">
        <v>543</v>
      </c>
      <c r="C20" s="24">
        <v>361</v>
      </c>
      <c r="D20" s="10">
        <f t="shared" si="0"/>
        <v>66.482504604051556</v>
      </c>
      <c r="E20" s="11">
        <v>543</v>
      </c>
      <c r="F20" s="24">
        <v>398</v>
      </c>
      <c r="G20" s="12">
        <f t="shared" si="1"/>
        <v>73.296500920810317</v>
      </c>
      <c r="H20" s="9">
        <v>634</v>
      </c>
      <c r="I20" s="24">
        <v>347</v>
      </c>
      <c r="J20" s="10">
        <f t="shared" si="2"/>
        <v>54.731861198738173</v>
      </c>
    </row>
    <row r="21" spans="1:10" ht="16.5" x14ac:dyDescent="0.45">
      <c r="A21" s="22" t="s">
        <v>5</v>
      </c>
      <c r="B21" s="11">
        <v>1425</v>
      </c>
      <c r="C21" s="24">
        <v>725</v>
      </c>
      <c r="D21" s="10">
        <f t="shared" si="0"/>
        <v>50.877192982456144</v>
      </c>
      <c r="E21" s="11">
        <v>1425</v>
      </c>
      <c r="F21" s="24">
        <v>533</v>
      </c>
      <c r="G21" s="12">
        <f t="shared" si="1"/>
        <v>37.403508771929822</v>
      </c>
      <c r="H21" s="9">
        <v>1082</v>
      </c>
      <c r="I21" s="24">
        <v>795</v>
      </c>
      <c r="J21" s="10">
        <f t="shared" si="2"/>
        <v>73.47504621072089</v>
      </c>
    </row>
    <row r="22" spans="1:10" ht="16.5" x14ac:dyDescent="0.45">
      <c r="A22" s="22" t="s">
        <v>19</v>
      </c>
      <c r="B22" s="11">
        <v>284</v>
      </c>
      <c r="C22" s="24">
        <v>139</v>
      </c>
      <c r="D22" s="10">
        <f t="shared" si="0"/>
        <v>48.943661971830984</v>
      </c>
      <c r="E22" s="11">
        <v>284</v>
      </c>
      <c r="F22" s="24">
        <v>123</v>
      </c>
      <c r="G22" s="12">
        <f t="shared" si="1"/>
        <v>43.309859154929576</v>
      </c>
      <c r="H22" s="9">
        <v>376</v>
      </c>
      <c r="I22" s="24">
        <v>126</v>
      </c>
      <c r="J22" s="10">
        <f t="shared" si="2"/>
        <v>33.51063829787234</v>
      </c>
    </row>
    <row r="23" spans="1:10" ht="29" x14ac:dyDescent="0.45">
      <c r="A23" s="22" t="s">
        <v>6</v>
      </c>
      <c r="B23" s="11">
        <v>488</v>
      </c>
      <c r="C23" s="24">
        <v>123</v>
      </c>
      <c r="D23" s="10">
        <f t="shared" si="0"/>
        <v>25.204918032786882</v>
      </c>
      <c r="E23" s="11">
        <v>488</v>
      </c>
      <c r="F23" s="24">
        <v>129</v>
      </c>
      <c r="G23" s="12">
        <f t="shared" si="1"/>
        <v>26.434426229508194</v>
      </c>
      <c r="H23" s="9">
        <v>514</v>
      </c>
      <c r="I23" s="24">
        <v>208</v>
      </c>
      <c r="J23" s="10">
        <f t="shared" si="2"/>
        <v>40.466926070038909</v>
      </c>
    </row>
    <row r="24" spans="1:10" ht="16.5" x14ac:dyDescent="0.45">
      <c r="A24" s="22" t="s">
        <v>29</v>
      </c>
      <c r="B24" s="11">
        <v>443</v>
      </c>
      <c r="C24" s="24">
        <v>379</v>
      </c>
      <c r="D24" s="10">
        <f t="shared" si="0"/>
        <v>85.553047404063207</v>
      </c>
      <c r="E24" s="11">
        <v>443</v>
      </c>
      <c r="F24" s="24">
        <v>384</v>
      </c>
      <c r="G24" s="12">
        <f t="shared" si="1"/>
        <v>86.681715575620771</v>
      </c>
      <c r="H24" s="9">
        <v>425</v>
      </c>
      <c r="I24" s="24">
        <v>306</v>
      </c>
      <c r="J24" s="10">
        <f t="shared" si="2"/>
        <v>72</v>
      </c>
    </row>
    <row r="25" spans="1:10" ht="16.5" x14ac:dyDescent="0.45">
      <c r="A25" s="22" t="s">
        <v>38</v>
      </c>
      <c r="B25" s="11">
        <v>130</v>
      </c>
      <c r="C25" s="24">
        <v>37</v>
      </c>
      <c r="D25" s="10">
        <f t="shared" si="0"/>
        <v>28.46153846153846</v>
      </c>
      <c r="E25" s="11">
        <v>130</v>
      </c>
      <c r="F25" s="24">
        <v>27</v>
      </c>
      <c r="G25" s="12">
        <f t="shared" si="1"/>
        <v>20.76923076923077</v>
      </c>
      <c r="H25" s="9">
        <v>123</v>
      </c>
      <c r="I25" s="24">
        <v>61</v>
      </c>
      <c r="J25" s="10">
        <f t="shared" si="2"/>
        <v>49.59349593495935</v>
      </c>
    </row>
    <row r="26" spans="1:10" ht="16.5" x14ac:dyDescent="0.45">
      <c r="A26" s="22" t="s">
        <v>30</v>
      </c>
      <c r="B26" s="11">
        <v>99</v>
      </c>
      <c r="C26" s="24">
        <v>67</v>
      </c>
      <c r="D26" s="10">
        <f t="shared" si="0"/>
        <v>67.676767676767682</v>
      </c>
      <c r="E26" s="11">
        <v>99</v>
      </c>
      <c r="F26" s="24">
        <v>35</v>
      </c>
      <c r="G26" s="12">
        <f t="shared" si="1"/>
        <v>35.353535353535356</v>
      </c>
      <c r="H26" s="9">
        <v>95</v>
      </c>
      <c r="I26" s="24">
        <v>39</v>
      </c>
      <c r="J26" s="10">
        <f t="shared" si="2"/>
        <v>41.05263157894737</v>
      </c>
    </row>
    <row r="27" spans="1:10" ht="29" x14ac:dyDescent="0.45">
      <c r="A27" s="22" t="s">
        <v>7</v>
      </c>
      <c r="B27" s="11">
        <v>224</v>
      </c>
      <c r="C27" s="24">
        <v>73</v>
      </c>
      <c r="D27" s="10">
        <f t="shared" si="0"/>
        <v>32.589285714285715</v>
      </c>
      <c r="E27" s="11">
        <v>224</v>
      </c>
      <c r="F27" s="24">
        <v>113</v>
      </c>
      <c r="G27" s="12">
        <f t="shared" si="1"/>
        <v>50.446428571428569</v>
      </c>
      <c r="H27" s="9">
        <v>243</v>
      </c>
      <c r="I27" s="24">
        <v>194</v>
      </c>
      <c r="J27" s="10">
        <f t="shared" si="2"/>
        <v>79.835390946502059</v>
      </c>
    </row>
    <row r="28" spans="1:10" ht="29" x14ac:dyDescent="0.45">
      <c r="A28" s="22" t="s">
        <v>20</v>
      </c>
      <c r="B28" s="11">
        <v>220</v>
      </c>
      <c r="C28" s="24">
        <v>79</v>
      </c>
      <c r="D28" s="10">
        <f t="shared" si="0"/>
        <v>35.909090909090907</v>
      </c>
      <c r="E28" s="11">
        <v>220</v>
      </c>
      <c r="F28" s="24">
        <v>97</v>
      </c>
      <c r="G28" s="12">
        <f t="shared" si="1"/>
        <v>44.090909090909093</v>
      </c>
      <c r="H28" s="9">
        <v>212</v>
      </c>
      <c r="I28" s="24">
        <v>245</v>
      </c>
      <c r="J28" s="10">
        <f t="shared" si="2"/>
        <v>115.56603773584906</v>
      </c>
    </row>
    <row r="29" spans="1:10" ht="16.5" x14ac:dyDescent="0.45">
      <c r="A29" s="22" t="s">
        <v>8</v>
      </c>
      <c r="B29" s="11">
        <v>135</v>
      </c>
      <c r="C29" s="24">
        <v>78</v>
      </c>
      <c r="D29" s="10">
        <f t="shared" si="0"/>
        <v>57.777777777777771</v>
      </c>
      <c r="E29" s="11">
        <v>135</v>
      </c>
      <c r="F29" s="24">
        <v>66</v>
      </c>
      <c r="G29" s="12">
        <f t="shared" si="1"/>
        <v>48.888888888888886</v>
      </c>
      <c r="H29" s="9">
        <v>190</v>
      </c>
      <c r="I29" s="24">
        <v>129</v>
      </c>
      <c r="J29" s="10">
        <f t="shared" si="2"/>
        <v>67.89473684210526</v>
      </c>
    </row>
    <row r="30" spans="1:10" ht="29" x14ac:dyDescent="0.45">
      <c r="A30" s="22" t="s">
        <v>9</v>
      </c>
      <c r="B30" s="11">
        <v>1283</v>
      </c>
      <c r="C30" s="24">
        <v>431</v>
      </c>
      <c r="D30" s="10">
        <f t="shared" si="0"/>
        <v>33.593141075604052</v>
      </c>
      <c r="E30" s="11">
        <v>1283</v>
      </c>
      <c r="F30" s="24">
        <v>351</v>
      </c>
      <c r="G30" s="12">
        <f t="shared" si="1"/>
        <v>27.357755261106782</v>
      </c>
      <c r="H30" s="9">
        <v>1399</v>
      </c>
      <c r="I30" s="24">
        <v>532</v>
      </c>
      <c r="J30" s="10">
        <f t="shared" si="2"/>
        <v>38.027162258756256</v>
      </c>
    </row>
    <row r="31" spans="1:10" ht="16.5" x14ac:dyDescent="0.45">
      <c r="A31" s="22" t="s">
        <v>39</v>
      </c>
      <c r="B31" s="11">
        <v>259</v>
      </c>
      <c r="C31" s="24">
        <v>102</v>
      </c>
      <c r="D31" s="10">
        <f t="shared" si="0"/>
        <v>39.382239382239383</v>
      </c>
      <c r="E31" s="11">
        <v>259</v>
      </c>
      <c r="F31" s="24">
        <v>108</v>
      </c>
      <c r="G31" s="12">
        <f t="shared" si="1"/>
        <v>41.698841698841697</v>
      </c>
      <c r="H31" s="9">
        <v>208</v>
      </c>
      <c r="I31" s="24">
        <v>86</v>
      </c>
      <c r="J31" s="10">
        <f t="shared" si="2"/>
        <v>41.346153846153847</v>
      </c>
    </row>
    <row r="32" spans="1:10" ht="29" x14ac:dyDescent="0.45">
      <c r="A32" s="22" t="s">
        <v>40</v>
      </c>
      <c r="B32" s="11">
        <v>36</v>
      </c>
      <c r="C32" s="24">
        <v>5</v>
      </c>
      <c r="D32" s="10">
        <f t="shared" si="0"/>
        <v>13.888888888888889</v>
      </c>
      <c r="E32" s="11">
        <v>36</v>
      </c>
      <c r="F32" s="24">
        <v>4</v>
      </c>
      <c r="G32" s="12">
        <f t="shared" si="1"/>
        <v>11.111111111111111</v>
      </c>
      <c r="H32" s="9">
        <v>36</v>
      </c>
      <c r="I32" s="24">
        <v>13</v>
      </c>
      <c r="J32" s="10">
        <f t="shared" si="2"/>
        <v>36.111111111111107</v>
      </c>
    </row>
    <row r="33" spans="1:10" ht="16.5" x14ac:dyDescent="0.45">
      <c r="A33" s="22" t="s">
        <v>10</v>
      </c>
      <c r="B33" s="11">
        <v>581</v>
      </c>
      <c r="C33" s="24">
        <v>152</v>
      </c>
      <c r="D33" s="10">
        <f t="shared" si="0"/>
        <v>26.161790017211707</v>
      </c>
      <c r="E33" s="11">
        <v>581</v>
      </c>
      <c r="F33" s="24">
        <v>174</v>
      </c>
      <c r="G33" s="12">
        <f t="shared" si="1"/>
        <v>29.948364888123923</v>
      </c>
      <c r="H33" s="9">
        <v>608</v>
      </c>
      <c r="I33" s="24">
        <v>165</v>
      </c>
      <c r="J33" s="10">
        <f t="shared" si="2"/>
        <v>27.138157894736842</v>
      </c>
    </row>
    <row r="34" spans="1:10" ht="29" x14ac:dyDescent="0.45">
      <c r="A34" s="22" t="s">
        <v>41</v>
      </c>
      <c r="B34" s="11">
        <v>129</v>
      </c>
      <c r="C34" s="24">
        <v>61</v>
      </c>
      <c r="D34" s="10">
        <f t="shared" si="0"/>
        <v>47.286821705426355</v>
      </c>
      <c r="E34" s="11">
        <v>129</v>
      </c>
      <c r="F34" s="24">
        <v>83</v>
      </c>
      <c r="G34" s="12">
        <f t="shared" si="1"/>
        <v>64.341085271317837</v>
      </c>
      <c r="H34" s="9">
        <v>153</v>
      </c>
      <c r="I34" s="24">
        <v>93</v>
      </c>
      <c r="J34" s="10">
        <f t="shared" si="2"/>
        <v>60.784313725490193</v>
      </c>
    </row>
    <row r="35" spans="1:10" ht="29" x14ac:dyDescent="0.45">
      <c r="A35" s="22" t="s">
        <v>21</v>
      </c>
      <c r="B35" s="11">
        <v>228</v>
      </c>
      <c r="C35" s="24">
        <v>61</v>
      </c>
      <c r="D35" s="10">
        <f t="shared" si="0"/>
        <v>26.754385964912281</v>
      </c>
      <c r="E35" s="11">
        <v>228</v>
      </c>
      <c r="F35" s="24">
        <v>53</v>
      </c>
      <c r="G35" s="12">
        <f t="shared" si="1"/>
        <v>23.245614035087719</v>
      </c>
      <c r="H35" s="9">
        <v>219</v>
      </c>
      <c r="I35" s="24">
        <v>67</v>
      </c>
      <c r="J35" s="10">
        <f t="shared" si="2"/>
        <v>30.593607305936072</v>
      </c>
    </row>
    <row r="36" spans="1:10" ht="29" x14ac:dyDescent="0.45">
      <c r="A36" s="22" t="s">
        <v>22</v>
      </c>
      <c r="B36" s="11">
        <v>33</v>
      </c>
      <c r="C36" s="24">
        <v>44</v>
      </c>
      <c r="D36" s="10">
        <f t="shared" si="0"/>
        <v>133.33333333333331</v>
      </c>
      <c r="E36" s="11">
        <v>33</v>
      </c>
      <c r="F36" s="24">
        <v>25</v>
      </c>
      <c r="G36" s="12">
        <f t="shared" si="1"/>
        <v>75.757575757575751</v>
      </c>
      <c r="H36" s="9">
        <v>38</v>
      </c>
      <c r="I36" s="24">
        <v>11</v>
      </c>
      <c r="J36" s="10">
        <f t="shared" si="2"/>
        <v>28.947368421052634</v>
      </c>
    </row>
    <row r="37" spans="1:10" ht="29" x14ac:dyDescent="0.45">
      <c r="A37" s="22" t="s">
        <v>23</v>
      </c>
      <c r="B37" s="11">
        <v>38</v>
      </c>
      <c r="C37" s="24">
        <v>14</v>
      </c>
      <c r="D37" s="10">
        <f t="shared" si="0"/>
        <v>36.84210526315789</v>
      </c>
      <c r="E37" s="11">
        <v>38</v>
      </c>
      <c r="F37" s="24">
        <v>6</v>
      </c>
      <c r="G37" s="12">
        <f t="shared" si="1"/>
        <v>15.789473684210526</v>
      </c>
      <c r="H37" s="9">
        <v>41</v>
      </c>
      <c r="I37" s="24">
        <v>16</v>
      </c>
      <c r="J37" s="10">
        <f t="shared" si="2"/>
        <v>39.024390243902438</v>
      </c>
    </row>
    <row r="38" spans="1:10" ht="16.5" x14ac:dyDescent="0.45">
      <c r="A38" s="22" t="s">
        <v>24</v>
      </c>
      <c r="B38" s="11">
        <v>130</v>
      </c>
      <c r="C38" s="24">
        <v>34</v>
      </c>
      <c r="D38" s="10">
        <f t="shared" si="0"/>
        <v>26.153846153846157</v>
      </c>
      <c r="E38" s="11">
        <v>130</v>
      </c>
      <c r="F38" s="24">
        <v>45</v>
      </c>
      <c r="G38" s="12">
        <f t="shared" si="1"/>
        <v>34.615384615384613</v>
      </c>
      <c r="H38" s="9">
        <v>140</v>
      </c>
      <c r="I38" s="24">
        <v>66</v>
      </c>
      <c r="J38" s="10">
        <f t="shared" si="2"/>
        <v>47.142857142857139</v>
      </c>
    </row>
    <row r="39" spans="1:10" ht="43.5" x14ac:dyDescent="0.45">
      <c r="A39" s="22" t="s">
        <v>31</v>
      </c>
      <c r="B39" s="11">
        <v>1467</v>
      </c>
      <c r="C39" s="24">
        <v>425</v>
      </c>
      <c r="D39" s="10">
        <f t="shared" si="0"/>
        <v>28.970688479890931</v>
      </c>
      <c r="E39" s="11">
        <v>1467</v>
      </c>
      <c r="F39" s="24">
        <v>445</v>
      </c>
      <c r="G39" s="12">
        <f t="shared" si="1"/>
        <v>30.334014996591684</v>
      </c>
      <c r="H39" s="9">
        <v>1144</v>
      </c>
      <c r="I39" s="24">
        <v>330</v>
      </c>
      <c r="J39" s="10">
        <f t="shared" si="2"/>
        <v>28.846153846153843</v>
      </c>
    </row>
    <row r="40" spans="1:10" ht="16.5" x14ac:dyDescent="0.45">
      <c r="A40" s="22" t="s">
        <v>11</v>
      </c>
      <c r="B40" s="11">
        <v>166</v>
      </c>
      <c r="C40" s="24">
        <v>47</v>
      </c>
      <c r="D40" s="10">
        <f t="shared" si="0"/>
        <v>28.313253012048197</v>
      </c>
      <c r="E40" s="11">
        <v>166</v>
      </c>
      <c r="F40" s="24">
        <v>62</v>
      </c>
      <c r="G40" s="12">
        <f t="shared" si="1"/>
        <v>37.349397590361441</v>
      </c>
      <c r="H40" s="9">
        <v>177</v>
      </c>
      <c r="I40" s="24">
        <v>75</v>
      </c>
      <c r="J40" s="10">
        <f t="shared" si="2"/>
        <v>42.372881355932201</v>
      </c>
    </row>
    <row r="41" spans="1:10" ht="16.5" x14ac:dyDescent="0.45">
      <c r="A41" s="22" t="s">
        <v>12</v>
      </c>
      <c r="B41" s="11">
        <v>952</v>
      </c>
      <c r="C41" s="24">
        <v>145</v>
      </c>
      <c r="D41" s="10">
        <f t="shared" si="0"/>
        <v>15.231092436974789</v>
      </c>
      <c r="E41" s="11">
        <v>952</v>
      </c>
      <c r="F41" s="24">
        <v>137</v>
      </c>
      <c r="G41" s="12">
        <f t="shared" si="1"/>
        <v>14.390756302521007</v>
      </c>
      <c r="H41" s="9">
        <v>851</v>
      </c>
      <c r="I41" s="24">
        <v>162</v>
      </c>
      <c r="J41" s="10">
        <f t="shared" si="2"/>
        <v>19.036427732079904</v>
      </c>
    </row>
    <row r="42" spans="1:10" ht="29" x14ac:dyDescent="0.45">
      <c r="A42" s="22" t="s">
        <v>32</v>
      </c>
      <c r="B42" s="11">
        <v>30</v>
      </c>
      <c r="C42" s="24">
        <v>68</v>
      </c>
      <c r="D42" s="10">
        <f t="shared" si="0"/>
        <v>226.66666666666666</v>
      </c>
      <c r="E42" s="11">
        <v>30</v>
      </c>
      <c r="F42" s="24">
        <v>48</v>
      </c>
      <c r="G42" s="12">
        <f t="shared" si="1"/>
        <v>160</v>
      </c>
      <c r="H42" s="9">
        <v>50</v>
      </c>
      <c r="I42" s="24">
        <v>64</v>
      </c>
      <c r="J42" s="10">
        <f t="shared" si="2"/>
        <v>128</v>
      </c>
    </row>
    <row r="43" spans="1:10" ht="16.5" x14ac:dyDescent="0.45">
      <c r="A43" s="22" t="s">
        <v>25</v>
      </c>
      <c r="B43" s="11">
        <v>278</v>
      </c>
      <c r="C43" s="24">
        <v>212</v>
      </c>
      <c r="D43" s="10">
        <f t="shared" si="0"/>
        <v>76.258992805755398</v>
      </c>
      <c r="E43" s="11">
        <v>278</v>
      </c>
      <c r="F43" s="24">
        <v>223</v>
      </c>
      <c r="G43" s="12">
        <f t="shared" si="1"/>
        <v>80.2158273381295</v>
      </c>
      <c r="H43" s="9">
        <v>348</v>
      </c>
      <c r="I43" s="24">
        <v>261</v>
      </c>
      <c r="J43" s="10">
        <f t="shared" si="2"/>
        <v>75</v>
      </c>
    </row>
    <row r="44" spans="1:10" ht="16.5" x14ac:dyDescent="0.45">
      <c r="A44" s="22" t="s">
        <v>33</v>
      </c>
      <c r="B44" s="11">
        <v>112</v>
      </c>
      <c r="C44" s="24">
        <v>59</v>
      </c>
      <c r="D44" s="10">
        <f t="shared" si="0"/>
        <v>52.678571428571431</v>
      </c>
      <c r="E44" s="11">
        <v>112</v>
      </c>
      <c r="F44" s="24">
        <v>38</v>
      </c>
      <c r="G44" s="12">
        <f t="shared" si="1"/>
        <v>33.928571428571431</v>
      </c>
      <c r="H44" s="9">
        <v>133</v>
      </c>
      <c r="I44" s="24">
        <v>69</v>
      </c>
      <c r="J44" s="10">
        <f t="shared" si="2"/>
        <v>51.879699248120303</v>
      </c>
    </row>
    <row r="45" spans="1:10" ht="29" x14ac:dyDescent="0.45">
      <c r="A45" s="22" t="s">
        <v>13</v>
      </c>
      <c r="B45" s="11">
        <v>403</v>
      </c>
      <c r="C45" s="24">
        <v>266</v>
      </c>
      <c r="D45" s="10">
        <f t="shared" si="0"/>
        <v>66.00496277915633</v>
      </c>
      <c r="E45" s="11">
        <v>403</v>
      </c>
      <c r="F45" s="24">
        <v>191</v>
      </c>
      <c r="G45" s="12">
        <f t="shared" si="1"/>
        <v>47.394540942928039</v>
      </c>
      <c r="H45" s="9">
        <v>254</v>
      </c>
      <c r="I45" s="24">
        <v>613</v>
      </c>
      <c r="J45" s="10">
        <f t="shared" si="2"/>
        <v>241.33858267716536</v>
      </c>
    </row>
  </sheetData>
  <mergeCells count="7">
    <mergeCell ref="A1:J2"/>
    <mergeCell ref="A3:J3"/>
    <mergeCell ref="A4:J4"/>
    <mergeCell ref="A5:A6"/>
    <mergeCell ref="B5:D5"/>
    <mergeCell ref="E5:G5"/>
    <mergeCell ref="H5:J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EC7D-3941-4075-8D3F-C0658383609A}">
  <dimension ref="A1:J45"/>
  <sheetViews>
    <sheetView topLeftCell="A17" workbookViewId="0">
      <selection sqref="A1:J45"/>
    </sheetView>
  </sheetViews>
  <sheetFormatPr baseColWidth="10" defaultRowHeight="14.5" x14ac:dyDescent="0.35"/>
  <cols>
    <col min="1" max="1" width="18.26953125" customWidth="1"/>
  </cols>
  <sheetData>
    <row r="1" spans="1:10" x14ac:dyDescent="0.35">
      <c r="A1" s="37" t="s">
        <v>58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8.5" x14ac:dyDescent="0.3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3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44" t="s">
        <v>2</v>
      </c>
      <c r="B5" s="46" t="s">
        <v>55</v>
      </c>
      <c r="C5" s="47"/>
      <c r="D5" s="48"/>
      <c r="E5" s="46" t="s">
        <v>56</v>
      </c>
      <c r="F5" s="47"/>
      <c r="G5" s="48"/>
      <c r="H5" s="46" t="s">
        <v>57</v>
      </c>
      <c r="I5" s="47"/>
      <c r="J5" s="48"/>
    </row>
    <row r="6" spans="1:10" ht="43.5" x14ac:dyDescent="0.35">
      <c r="A6" s="45"/>
      <c r="B6" s="5" t="s">
        <v>42</v>
      </c>
      <c r="C6" s="23" t="s">
        <v>45</v>
      </c>
      <c r="D6" s="32" t="s">
        <v>44</v>
      </c>
      <c r="E6" s="5" t="s">
        <v>42</v>
      </c>
      <c r="F6" s="23" t="s">
        <v>46</v>
      </c>
      <c r="G6" s="32" t="s">
        <v>44</v>
      </c>
      <c r="H6" s="5" t="s">
        <v>42</v>
      </c>
      <c r="I6" s="23" t="s">
        <v>43</v>
      </c>
      <c r="J6" s="5" t="s">
        <v>44</v>
      </c>
    </row>
    <row r="7" spans="1:10" ht="16.5" x14ac:dyDescent="0.45">
      <c r="A7" s="22" t="s">
        <v>26</v>
      </c>
      <c r="B7" s="11">
        <v>499</v>
      </c>
      <c r="C7" s="24">
        <v>249</v>
      </c>
      <c r="D7" s="10">
        <f t="shared" ref="D7:D45" si="0">SUM(C7/B7*100)</f>
        <v>49.899799599198396</v>
      </c>
      <c r="E7" s="11">
        <v>499</v>
      </c>
      <c r="F7" s="24">
        <v>163</v>
      </c>
      <c r="G7" s="12">
        <f t="shared" ref="G7:G45" si="1">SUM(F7/E7*100)</f>
        <v>32.665330661322642</v>
      </c>
      <c r="H7" s="9">
        <v>560</v>
      </c>
      <c r="I7" s="24">
        <v>240</v>
      </c>
      <c r="J7" s="10">
        <f t="shared" ref="J7:J45" si="2">SUM(I7/H7*100)</f>
        <v>42.857142857142854</v>
      </c>
    </row>
    <row r="8" spans="1:10" ht="16.5" x14ac:dyDescent="0.45">
      <c r="A8" s="22" t="s">
        <v>27</v>
      </c>
      <c r="B8" s="11">
        <v>54</v>
      </c>
      <c r="C8" s="24">
        <v>38</v>
      </c>
      <c r="D8" s="10">
        <f t="shared" si="0"/>
        <v>70.370370370370367</v>
      </c>
      <c r="E8" s="11">
        <v>54</v>
      </c>
      <c r="F8" s="24">
        <v>39</v>
      </c>
      <c r="G8" s="12">
        <f t="shared" si="1"/>
        <v>72.222222222222214</v>
      </c>
      <c r="H8" s="9">
        <v>51</v>
      </c>
      <c r="I8" s="24">
        <v>40</v>
      </c>
      <c r="J8" s="10">
        <f t="shared" si="2"/>
        <v>78.431372549019613</v>
      </c>
    </row>
    <row r="9" spans="1:10" ht="29" x14ac:dyDescent="0.45">
      <c r="A9" s="22" t="s">
        <v>34</v>
      </c>
      <c r="B9" s="11">
        <v>61</v>
      </c>
      <c r="C9" s="24">
        <v>30</v>
      </c>
      <c r="D9" s="10">
        <f t="shared" si="0"/>
        <v>49.180327868852459</v>
      </c>
      <c r="E9" s="11">
        <v>61</v>
      </c>
      <c r="F9" s="24">
        <v>25</v>
      </c>
      <c r="G9" s="12">
        <f t="shared" si="1"/>
        <v>40.983606557377051</v>
      </c>
      <c r="H9" s="11">
        <v>105</v>
      </c>
      <c r="I9" s="24">
        <v>35</v>
      </c>
      <c r="J9" s="10">
        <f t="shared" si="2"/>
        <v>33.333333333333329</v>
      </c>
    </row>
    <row r="10" spans="1:10" ht="16.5" x14ac:dyDescent="0.45">
      <c r="A10" s="22" t="s">
        <v>14</v>
      </c>
      <c r="B10" s="11">
        <v>643</v>
      </c>
      <c r="C10" s="24">
        <v>299</v>
      </c>
      <c r="D10" s="10">
        <f t="shared" si="0"/>
        <v>46.500777604976676</v>
      </c>
      <c r="E10" s="11">
        <v>643</v>
      </c>
      <c r="F10" s="24">
        <v>185</v>
      </c>
      <c r="G10" s="12">
        <f t="shared" si="1"/>
        <v>28.771384136858476</v>
      </c>
      <c r="H10" s="9">
        <v>843</v>
      </c>
      <c r="I10" s="24">
        <v>290</v>
      </c>
      <c r="J10" s="10">
        <f t="shared" si="2"/>
        <v>34.400948991696325</v>
      </c>
    </row>
    <row r="11" spans="1:10" ht="16.5" x14ac:dyDescent="0.45">
      <c r="A11" s="22" t="s">
        <v>3</v>
      </c>
      <c r="B11" s="11">
        <v>8431</v>
      </c>
      <c r="C11" s="25">
        <v>6509</v>
      </c>
      <c r="D11" s="10">
        <f t="shared" si="0"/>
        <v>77.203178745107337</v>
      </c>
      <c r="E11" s="11">
        <v>8431</v>
      </c>
      <c r="F11" s="27">
        <v>6595</v>
      </c>
      <c r="G11" s="12">
        <f t="shared" si="1"/>
        <v>78.223223816866323</v>
      </c>
      <c r="H11" s="8">
        <v>10719</v>
      </c>
      <c r="I11" s="27">
        <v>8865</v>
      </c>
      <c r="J11" s="10">
        <f t="shared" si="2"/>
        <v>82.703610411418964</v>
      </c>
    </row>
    <row r="12" spans="1:10" ht="16.5" x14ac:dyDescent="0.45">
      <c r="A12" s="22" t="s">
        <v>35</v>
      </c>
      <c r="B12" s="11">
        <v>117</v>
      </c>
      <c r="C12" s="24">
        <v>59</v>
      </c>
      <c r="D12" s="10">
        <f t="shared" si="0"/>
        <v>50.427350427350426</v>
      </c>
      <c r="E12" s="11">
        <v>117</v>
      </c>
      <c r="F12" s="24">
        <v>44</v>
      </c>
      <c r="G12" s="12">
        <f t="shared" si="1"/>
        <v>37.606837606837608</v>
      </c>
      <c r="H12" s="9">
        <v>64</v>
      </c>
      <c r="I12" s="24">
        <v>71</v>
      </c>
      <c r="J12" s="10">
        <f t="shared" si="2"/>
        <v>110.9375</v>
      </c>
    </row>
    <row r="13" spans="1:10" ht="35.25" customHeight="1" x14ac:dyDescent="0.45">
      <c r="A13" s="22" t="s">
        <v>15</v>
      </c>
      <c r="B13" s="11">
        <v>236</v>
      </c>
      <c r="C13" s="24">
        <v>109</v>
      </c>
      <c r="D13" s="10">
        <f t="shared" si="0"/>
        <v>46.186440677966104</v>
      </c>
      <c r="E13" s="11">
        <v>236</v>
      </c>
      <c r="F13" s="24">
        <v>118</v>
      </c>
      <c r="G13" s="12">
        <f t="shared" si="1"/>
        <v>50</v>
      </c>
      <c r="H13" s="9">
        <v>231</v>
      </c>
      <c r="I13" s="24">
        <v>155</v>
      </c>
      <c r="J13" s="10">
        <f t="shared" si="2"/>
        <v>67.099567099567111</v>
      </c>
    </row>
    <row r="14" spans="1:10" ht="16.5" x14ac:dyDescent="0.45">
      <c r="A14" s="22" t="s">
        <v>16</v>
      </c>
      <c r="B14" s="11">
        <v>5736</v>
      </c>
      <c r="C14" s="24">
        <v>3860</v>
      </c>
      <c r="D14" s="10">
        <f t="shared" si="0"/>
        <v>67.294281729428178</v>
      </c>
      <c r="E14" s="11">
        <v>5736</v>
      </c>
      <c r="F14" s="24">
        <v>2346</v>
      </c>
      <c r="G14" s="12">
        <f t="shared" si="1"/>
        <v>40.89958158995816</v>
      </c>
      <c r="H14" s="9">
        <v>6878</v>
      </c>
      <c r="I14" s="24">
        <v>2172</v>
      </c>
      <c r="J14" s="10">
        <f t="shared" si="2"/>
        <v>31.578947368421051</v>
      </c>
    </row>
    <row r="15" spans="1:10" ht="16.5" x14ac:dyDescent="0.45">
      <c r="A15" s="22" t="s">
        <v>4</v>
      </c>
      <c r="B15" s="11">
        <v>576</v>
      </c>
      <c r="C15" s="29">
        <v>281</v>
      </c>
      <c r="D15" s="10">
        <f t="shared" si="0"/>
        <v>48.784722222222221</v>
      </c>
      <c r="E15" s="11">
        <v>576</v>
      </c>
      <c r="F15" s="24">
        <v>245</v>
      </c>
      <c r="G15" s="12">
        <f t="shared" si="1"/>
        <v>42.534722222222221</v>
      </c>
      <c r="H15" s="9">
        <v>657</v>
      </c>
      <c r="I15" s="24">
        <v>339</v>
      </c>
      <c r="J15" s="10">
        <f t="shared" si="2"/>
        <v>51.598173515981735</v>
      </c>
    </row>
    <row r="16" spans="1:10" ht="16.5" x14ac:dyDescent="0.45">
      <c r="A16" s="22" t="s">
        <v>28</v>
      </c>
      <c r="B16" s="11">
        <v>137</v>
      </c>
      <c r="C16" s="24">
        <v>41</v>
      </c>
      <c r="D16" s="10">
        <f t="shared" si="0"/>
        <v>29.927007299270077</v>
      </c>
      <c r="E16" s="11">
        <v>137</v>
      </c>
      <c r="F16" s="24">
        <v>42</v>
      </c>
      <c r="G16" s="12">
        <f t="shared" si="1"/>
        <v>30.656934306569344</v>
      </c>
      <c r="H16" s="9">
        <v>184</v>
      </c>
      <c r="I16" s="24">
        <v>53</v>
      </c>
      <c r="J16" s="10">
        <f t="shared" si="2"/>
        <v>28.804347826086957</v>
      </c>
    </row>
    <row r="17" spans="1:10" ht="16.5" x14ac:dyDescent="0.45">
      <c r="A17" s="22" t="s">
        <v>36</v>
      </c>
      <c r="B17" s="11">
        <v>62</v>
      </c>
      <c r="C17" s="24">
        <v>15</v>
      </c>
      <c r="D17" s="10">
        <f t="shared" si="0"/>
        <v>24.193548387096776</v>
      </c>
      <c r="E17" s="11">
        <v>62</v>
      </c>
      <c r="F17" s="24">
        <v>26</v>
      </c>
      <c r="G17" s="12">
        <f t="shared" si="1"/>
        <v>41.935483870967744</v>
      </c>
      <c r="H17" s="9">
        <v>69</v>
      </c>
      <c r="I17" s="24">
        <v>39</v>
      </c>
      <c r="J17" s="10">
        <f t="shared" si="2"/>
        <v>56.521739130434781</v>
      </c>
    </row>
    <row r="18" spans="1:10" ht="16.5" x14ac:dyDescent="0.45">
      <c r="A18" s="22" t="s">
        <v>37</v>
      </c>
      <c r="B18" s="11">
        <v>62</v>
      </c>
      <c r="C18" s="24">
        <v>36</v>
      </c>
      <c r="D18" s="10">
        <f t="shared" si="0"/>
        <v>58.064516129032263</v>
      </c>
      <c r="E18" s="11">
        <v>62</v>
      </c>
      <c r="F18" s="24">
        <v>21</v>
      </c>
      <c r="G18" s="12">
        <f t="shared" si="1"/>
        <v>33.87096774193548</v>
      </c>
      <c r="H18" s="9">
        <v>75</v>
      </c>
      <c r="I18" s="24">
        <v>22</v>
      </c>
      <c r="J18" s="10">
        <f t="shared" si="2"/>
        <v>29.333333333333332</v>
      </c>
    </row>
    <row r="19" spans="1:10" ht="16.5" x14ac:dyDescent="0.45">
      <c r="A19" s="22" t="s">
        <v>17</v>
      </c>
      <c r="B19" s="11">
        <v>2230</v>
      </c>
      <c r="C19" s="24">
        <v>1686</v>
      </c>
      <c r="D19" s="10">
        <f t="shared" si="0"/>
        <v>75.605381165919283</v>
      </c>
      <c r="E19" s="11">
        <v>2230</v>
      </c>
      <c r="F19" s="24">
        <v>1457</v>
      </c>
      <c r="G19" s="12">
        <f t="shared" si="1"/>
        <v>65.336322869955154</v>
      </c>
      <c r="H19" s="9">
        <v>2609</v>
      </c>
      <c r="I19" s="24">
        <v>1496</v>
      </c>
      <c r="J19" s="10">
        <f t="shared" si="2"/>
        <v>57.339977002683021</v>
      </c>
    </row>
    <row r="20" spans="1:10" ht="16.5" x14ac:dyDescent="0.45">
      <c r="A20" s="22" t="s">
        <v>18</v>
      </c>
      <c r="B20" s="11">
        <v>543</v>
      </c>
      <c r="C20" s="24">
        <v>361</v>
      </c>
      <c r="D20" s="10">
        <f t="shared" si="0"/>
        <v>66.482504604051556</v>
      </c>
      <c r="E20" s="11">
        <v>543</v>
      </c>
      <c r="F20" s="24">
        <v>398</v>
      </c>
      <c r="G20" s="12">
        <f t="shared" si="1"/>
        <v>73.296500920810317</v>
      </c>
      <c r="H20" s="9">
        <v>634</v>
      </c>
      <c r="I20" s="24">
        <v>347</v>
      </c>
      <c r="J20" s="10">
        <f t="shared" si="2"/>
        <v>54.731861198738173</v>
      </c>
    </row>
    <row r="21" spans="1:10" s="31" customFormat="1" ht="16.5" x14ac:dyDescent="0.45">
      <c r="A21" s="22" t="s">
        <v>5</v>
      </c>
      <c r="B21" s="11">
        <v>1425</v>
      </c>
      <c r="C21" s="24">
        <v>725</v>
      </c>
      <c r="D21" s="10">
        <f t="shared" si="0"/>
        <v>50.877192982456144</v>
      </c>
      <c r="E21" s="11">
        <v>1425</v>
      </c>
      <c r="F21" s="24">
        <v>535</v>
      </c>
      <c r="G21" s="12">
        <f t="shared" si="1"/>
        <v>37.543859649122808</v>
      </c>
      <c r="H21" s="11">
        <v>1082</v>
      </c>
      <c r="I21" s="24">
        <v>813</v>
      </c>
      <c r="J21" s="10">
        <f t="shared" si="2"/>
        <v>75.138632162661736</v>
      </c>
    </row>
    <row r="22" spans="1:10" s="31" customFormat="1" ht="16.5" x14ac:dyDescent="0.45">
      <c r="A22" s="17" t="s">
        <v>19</v>
      </c>
      <c r="B22" s="11">
        <v>284</v>
      </c>
      <c r="C22" s="11">
        <v>139</v>
      </c>
      <c r="D22" s="10">
        <f t="shared" si="0"/>
        <v>48.943661971830984</v>
      </c>
      <c r="E22" s="11">
        <v>284</v>
      </c>
      <c r="F22" s="11">
        <v>123</v>
      </c>
      <c r="G22" s="12">
        <f t="shared" si="1"/>
        <v>43.309859154929576</v>
      </c>
      <c r="H22" s="11">
        <v>376</v>
      </c>
      <c r="I22" s="11">
        <v>126</v>
      </c>
      <c r="J22" s="10">
        <f t="shared" si="2"/>
        <v>33.51063829787234</v>
      </c>
    </row>
    <row r="23" spans="1:10" ht="16.5" x14ac:dyDescent="0.45">
      <c r="A23" s="22" t="s">
        <v>6</v>
      </c>
      <c r="B23" s="11">
        <v>488</v>
      </c>
      <c r="C23" s="24">
        <v>125</v>
      </c>
      <c r="D23" s="10">
        <f t="shared" si="0"/>
        <v>25.614754098360653</v>
      </c>
      <c r="E23" s="11">
        <v>488</v>
      </c>
      <c r="F23" s="24">
        <v>132</v>
      </c>
      <c r="G23" s="12">
        <f t="shared" si="1"/>
        <v>27.049180327868854</v>
      </c>
      <c r="H23" s="9">
        <v>514</v>
      </c>
      <c r="I23" s="24">
        <v>209</v>
      </c>
      <c r="J23" s="10">
        <f t="shared" si="2"/>
        <v>40.661478599221788</v>
      </c>
    </row>
    <row r="24" spans="1:10" ht="16.5" x14ac:dyDescent="0.45">
      <c r="A24" s="22" t="s">
        <v>29</v>
      </c>
      <c r="B24" s="11">
        <v>443</v>
      </c>
      <c r="C24" s="24">
        <v>379</v>
      </c>
      <c r="D24" s="10">
        <f t="shared" si="0"/>
        <v>85.553047404063207</v>
      </c>
      <c r="E24" s="11">
        <v>443</v>
      </c>
      <c r="F24" s="24">
        <v>384</v>
      </c>
      <c r="G24" s="12">
        <f t="shared" si="1"/>
        <v>86.681715575620771</v>
      </c>
      <c r="H24" s="9">
        <v>425</v>
      </c>
      <c r="I24" s="24">
        <v>306</v>
      </c>
      <c r="J24" s="10">
        <f t="shared" si="2"/>
        <v>72</v>
      </c>
    </row>
    <row r="25" spans="1:10" ht="16.5" x14ac:dyDescent="0.45">
      <c r="A25" s="22" t="s">
        <v>38</v>
      </c>
      <c r="B25" s="11">
        <v>130</v>
      </c>
      <c r="C25" s="24">
        <v>39</v>
      </c>
      <c r="D25" s="10">
        <f t="shared" si="0"/>
        <v>30</v>
      </c>
      <c r="E25" s="11">
        <v>130</v>
      </c>
      <c r="F25" s="24">
        <v>27</v>
      </c>
      <c r="G25" s="12">
        <f t="shared" si="1"/>
        <v>20.76923076923077</v>
      </c>
      <c r="H25" s="9">
        <v>123</v>
      </c>
      <c r="I25" s="24">
        <v>61</v>
      </c>
      <c r="J25" s="10">
        <f t="shared" si="2"/>
        <v>49.59349593495935</v>
      </c>
    </row>
    <row r="26" spans="1:10" ht="16.5" x14ac:dyDescent="0.45">
      <c r="A26" s="22" t="s">
        <v>30</v>
      </c>
      <c r="B26" s="11">
        <v>99</v>
      </c>
      <c r="C26" s="24">
        <v>67</v>
      </c>
      <c r="D26" s="10">
        <f t="shared" si="0"/>
        <v>67.676767676767682</v>
      </c>
      <c r="E26" s="11">
        <v>99</v>
      </c>
      <c r="F26" s="24">
        <v>35</v>
      </c>
      <c r="G26" s="12">
        <f t="shared" si="1"/>
        <v>35.353535353535356</v>
      </c>
      <c r="H26" s="9">
        <v>95</v>
      </c>
      <c r="I26" s="24">
        <v>39</v>
      </c>
      <c r="J26" s="10">
        <f t="shared" si="2"/>
        <v>41.05263157894737</v>
      </c>
    </row>
    <row r="27" spans="1:10" ht="29" x14ac:dyDescent="0.45">
      <c r="A27" s="22" t="s">
        <v>7</v>
      </c>
      <c r="B27" s="11">
        <v>224</v>
      </c>
      <c r="C27" s="24">
        <v>73</v>
      </c>
      <c r="D27" s="10">
        <f t="shared" si="0"/>
        <v>32.589285714285715</v>
      </c>
      <c r="E27" s="11">
        <v>224</v>
      </c>
      <c r="F27" s="24">
        <v>113</v>
      </c>
      <c r="G27" s="12">
        <f t="shared" si="1"/>
        <v>50.446428571428569</v>
      </c>
      <c r="H27" s="9">
        <v>243</v>
      </c>
      <c r="I27" s="24">
        <v>194</v>
      </c>
      <c r="J27" s="10">
        <f t="shared" si="2"/>
        <v>79.835390946502059</v>
      </c>
    </row>
    <row r="28" spans="1:10" ht="16.5" x14ac:dyDescent="0.45">
      <c r="A28" s="22" t="s">
        <v>20</v>
      </c>
      <c r="B28" s="11">
        <v>220</v>
      </c>
      <c r="C28" s="24">
        <v>79</v>
      </c>
      <c r="D28" s="10">
        <f t="shared" si="0"/>
        <v>35.909090909090907</v>
      </c>
      <c r="E28" s="11">
        <v>220</v>
      </c>
      <c r="F28" s="24">
        <v>97</v>
      </c>
      <c r="G28" s="12">
        <f t="shared" si="1"/>
        <v>44.090909090909093</v>
      </c>
      <c r="H28" s="9">
        <v>212</v>
      </c>
      <c r="I28" s="24">
        <v>245</v>
      </c>
      <c r="J28" s="10">
        <f t="shared" si="2"/>
        <v>115.56603773584906</v>
      </c>
    </row>
    <row r="29" spans="1:10" ht="16.5" x14ac:dyDescent="0.45">
      <c r="A29" s="22" t="s">
        <v>8</v>
      </c>
      <c r="B29" s="11">
        <v>135</v>
      </c>
      <c r="C29" s="24">
        <v>83</v>
      </c>
      <c r="D29" s="10">
        <f t="shared" si="0"/>
        <v>61.481481481481481</v>
      </c>
      <c r="E29" s="11">
        <v>135</v>
      </c>
      <c r="F29" s="24">
        <v>70</v>
      </c>
      <c r="G29" s="12">
        <f t="shared" si="1"/>
        <v>51.851851851851848</v>
      </c>
      <c r="H29" s="9">
        <v>190</v>
      </c>
      <c r="I29" s="24">
        <v>133</v>
      </c>
      <c r="J29" s="10">
        <f t="shared" si="2"/>
        <v>70</v>
      </c>
    </row>
    <row r="30" spans="1:10" ht="16.5" x14ac:dyDescent="0.45">
      <c r="A30" s="22" t="s">
        <v>9</v>
      </c>
      <c r="B30" s="11">
        <v>1283</v>
      </c>
      <c r="C30" s="24">
        <v>506</v>
      </c>
      <c r="D30" s="10">
        <f t="shared" si="0"/>
        <v>39.438815276695244</v>
      </c>
      <c r="E30" s="11">
        <v>1283</v>
      </c>
      <c r="F30" s="24">
        <v>391</v>
      </c>
      <c r="G30" s="12">
        <f t="shared" si="1"/>
        <v>30.475448168355417</v>
      </c>
      <c r="H30" s="9">
        <v>1399</v>
      </c>
      <c r="I30" s="24">
        <v>581</v>
      </c>
      <c r="J30" s="10">
        <f t="shared" si="2"/>
        <v>41.529664045746962</v>
      </c>
    </row>
    <row r="31" spans="1:10" ht="16.5" x14ac:dyDescent="0.45">
      <c r="A31" s="22" t="s">
        <v>39</v>
      </c>
      <c r="B31" s="11">
        <v>259</v>
      </c>
      <c r="C31" s="24">
        <v>102</v>
      </c>
      <c r="D31" s="10">
        <f t="shared" si="0"/>
        <v>39.382239382239383</v>
      </c>
      <c r="E31" s="11">
        <v>259</v>
      </c>
      <c r="F31" s="24">
        <v>108</v>
      </c>
      <c r="G31" s="12">
        <f t="shared" si="1"/>
        <v>41.698841698841697</v>
      </c>
      <c r="H31" s="9">
        <v>208</v>
      </c>
      <c r="I31" s="24">
        <v>86</v>
      </c>
      <c r="J31" s="10">
        <f t="shared" si="2"/>
        <v>41.346153846153847</v>
      </c>
    </row>
    <row r="32" spans="1:10" ht="16.5" x14ac:dyDescent="0.45">
      <c r="A32" s="22" t="s">
        <v>40</v>
      </c>
      <c r="B32" s="11">
        <v>36</v>
      </c>
      <c r="C32" s="24">
        <v>5</v>
      </c>
      <c r="D32" s="10">
        <f t="shared" si="0"/>
        <v>13.888888888888889</v>
      </c>
      <c r="E32" s="11">
        <v>36</v>
      </c>
      <c r="F32" s="24">
        <v>4</v>
      </c>
      <c r="G32" s="12">
        <f t="shared" si="1"/>
        <v>11.111111111111111</v>
      </c>
      <c r="H32" s="9">
        <v>36</v>
      </c>
      <c r="I32" s="24">
        <v>13</v>
      </c>
      <c r="J32" s="10">
        <f t="shared" si="2"/>
        <v>36.111111111111107</v>
      </c>
    </row>
    <row r="33" spans="1:10" ht="16.5" x14ac:dyDescent="0.45">
      <c r="A33" s="22" t="s">
        <v>10</v>
      </c>
      <c r="B33" s="11">
        <v>581</v>
      </c>
      <c r="C33" s="24">
        <v>167</v>
      </c>
      <c r="D33" s="10">
        <f t="shared" si="0"/>
        <v>28.743545611015492</v>
      </c>
      <c r="E33" s="11">
        <v>581</v>
      </c>
      <c r="F33" s="24">
        <v>189</v>
      </c>
      <c r="G33" s="12">
        <f t="shared" si="1"/>
        <v>32.53012048192771</v>
      </c>
      <c r="H33" s="9">
        <v>608</v>
      </c>
      <c r="I33" s="24">
        <v>183</v>
      </c>
      <c r="J33" s="10">
        <f t="shared" si="2"/>
        <v>30.098684210526315</v>
      </c>
    </row>
    <row r="34" spans="1:10" ht="16.5" x14ac:dyDescent="0.45">
      <c r="A34" s="22" t="s">
        <v>41</v>
      </c>
      <c r="B34" s="11">
        <v>129</v>
      </c>
      <c r="C34" s="24">
        <v>63</v>
      </c>
      <c r="D34" s="10">
        <f t="shared" si="0"/>
        <v>48.837209302325576</v>
      </c>
      <c r="E34" s="11">
        <v>129</v>
      </c>
      <c r="F34" s="24">
        <v>84</v>
      </c>
      <c r="G34" s="12">
        <f t="shared" si="1"/>
        <v>65.116279069767444</v>
      </c>
      <c r="H34" s="9">
        <v>153</v>
      </c>
      <c r="I34" s="24">
        <v>94</v>
      </c>
      <c r="J34" s="10">
        <f t="shared" si="2"/>
        <v>61.437908496732028</v>
      </c>
    </row>
    <row r="35" spans="1:10" ht="29" x14ac:dyDescent="0.45">
      <c r="A35" s="22" t="s">
        <v>21</v>
      </c>
      <c r="B35" s="11">
        <v>228</v>
      </c>
      <c r="C35" s="24">
        <v>61</v>
      </c>
      <c r="D35" s="10">
        <f t="shared" si="0"/>
        <v>26.754385964912281</v>
      </c>
      <c r="E35" s="11">
        <v>228</v>
      </c>
      <c r="F35" s="24">
        <v>53</v>
      </c>
      <c r="G35" s="12">
        <f t="shared" si="1"/>
        <v>23.245614035087719</v>
      </c>
      <c r="H35" s="9">
        <v>219</v>
      </c>
      <c r="I35" s="24">
        <v>67</v>
      </c>
      <c r="J35" s="10">
        <f t="shared" si="2"/>
        <v>30.593607305936072</v>
      </c>
    </row>
    <row r="36" spans="1:10" ht="16.5" x14ac:dyDescent="0.45">
      <c r="A36" s="22" t="s">
        <v>22</v>
      </c>
      <c r="B36" s="11">
        <v>33</v>
      </c>
      <c r="C36" s="24">
        <v>44</v>
      </c>
      <c r="D36" s="10">
        <f t="shared" si="0"/>
        <v>133.33333333333331</v>
      </c>
      <c r="E36" s="11">
        <v>33</v>
      </c>
      <c r="F36" s="24">
        <v>25</v>
      </c>
      <c r="G36" s="12">
        <f t="shared" si="1"/>
        <v>75.757575757575751</v>
      </c>
      <c r="H36" s="9">
        <v>38</v>
      </c>
      <c r="I36" s="24">
        <v>11</v>
      </c>
      <c r="J36" s="10">
        <f t="shared" si="2"/>
        <v>28.947368421052634</v>
      </c>
    </row>
    <row r="37" spans="1:10" ht="16.5" x14ac:dyDescent="0.45">
      <c r="A37" s="22" t="s">
        <v>23</v>
      </c>
      <c r="B37" s="11">
        <v>38</v>
      </c>
      <c r="C37" s="24">
        <v>14</v>
      </c>
      <c r="D37" s="10">
        <f t="shared" si="0"/>
        <v>36.84210526315789</v>
      </c>
      <c r="E37" s="11">
        <v>38</v>
      </c>
      <c r="F37" s="24">
        <v>6</v>
      </c>
      <c r="G37" s="12">
        <f t="shared" si="1"/>
        <v>15.789473684210526</v>
      </c>
      <c r="H37" s="9">
        <v>41</v>
      </c>
      <c r="I37" s="24">
        <v>16</v>
      </c>
      <c r="J37" s="10">
        <f t="shared" si="2"/>
        <v>39.024390243902438</v>
      </c>
    </row>
    <row r="38" spans="1:10" ht="16.5" x14ac:dyDescent="0.45">
      <c r="A38" s="22" t="s">
        <v>24</v>
      </c>
      <c r="B38" s="11">
        <v>130</v>
      </c>
      <c r="C38" s="24">
        <v>34</v>
      </c>
      <c r="D38" s="10">
        <f t="shared" si="0"/>
        <v>26.153846153846157</v>
      </c>
      <c r="E38" s="11">
        <v>130</v>
      </c>
      <c r="F38" s="24">
        <v>45</v>
      </c>
      <c r="G38" s="12">
        <f t="shared" si="1"/>
        <v>34.615384615384613</v>
      </c>
      <c r="H38" s="9">
        <v>140</v>
      </c>
      <c r="I38" s="24">
        <v>66</v>
      </c>
      <c r="J38" s="10">
        <f t="shared" si="2"/>
        <v>47.142857142857139</v>
      </c>
    </row>
    <row r="39" spans="1:10" ht="29" x14ac:dyDescent="0.45">
      <c r="A39" s="22" t="s">
        <v>31</v>
      </c>
      <c r="B39" s="11">
        <v>1467</v>
      </c>
      <c r="C39" s="24">
        <v>431</v>
      </c>
      <c r="D39" s="10">
        <f t="shared" si="0"/>
        <v>29.37968643490116</v>
      </c>
      <c r="E39" s="11">
        <v>1467</v>
      </c>
      <c r="F39" s="24">
        <v>448</v>
      </c>
      <c r="G39" s="12">
        <f t="shared" si="1"/>
        <v>30.538513974096798</v>
      </c>
      <c r="H39" s="9">
        <v>1144</v>
      </c>
      <c r="I39" s="24">
        <v>332</v>
      </c>
      <c r="J39" s="10">
        <f t="shared" si="2"/>
        <v>29.02097902097902</v>
      </c>
    </row>
    <row r="40" spans="1:10" ht="16.5" x14ac:dyDescent="0.45">
      <c r="A40" s="22" t="s">
        <v>11</v>
      </c>
      <c r="B40" s="11">
        <v>166</v>
      </c>
      <c r="C40" s="24">
        <v>48</v>
      </c>
      <c r="D40" s="10">
        <f t="shared" si="0"/>
        <v>28.915662650602407</v>
      </c>
      <c r="E40" s="11">
        <v>166</v>
      </c>
      <c r="F40" s="24">
        <v>62</v>
      </c>
      <c r="G40" s="12">
        <f t="shared" si="1"/>
        <v>37.349397590361441</v>
      </c>
      <c r="H40" s="9">
        <v>177</v>
      </c>
      <c r="I40" s="24">
        <v>76</v>
      </c>
      <c r="J40" s="10">
        <f t="shared" si="2"/>
        <v>42.93785310734463</v>
      </c>
    </row>
    <row r="41" spans="1:10" ht="16.5" x14ac:dyDescent="0.45">
      <c r="A41" s="22" t="s">
        <v>12</v>
      </c>
      <c r="B41" s="11">
        <v>952</v>
      </c>
      <c r="C41" s="24">
        <v>145</v>
      </c>
      <c r="D41" s="10">
        <f t="shared" si="0"/>
        <v>15.231092436974789</v>
      </c>
      <c r="E41" s="11">
        <v>952</v>
      </c>
      <c r="F41" s="24">
        <v>137</v>
      </c>
      <c r="G41" s="12">
        <f t="shared" si="1"/>
        <v>14.390756302521007</v>
      </c>
      <c r="H41" s="9">
        <v>851</v>
      </c>
      <c r="I41" s="24">
        <v>162</v>
      </c>
      <c r="J41" s="10">
        <f t="shared" si="2"/>
        <v>19.036427732079904</v>
      </c>
    </row>
    <row r="42" spans="1:10" ht="16.5" x14ac:dyDescent="0.45">
      <c r="A42" s="22" t="s">
        <v>32</v>
      </c>
      <c r="B42" s="11">
        <v>30</v>
      </c>
      <c r="C42" s="24">
        <v>68</v>
      </c>
      <c r="D42" s="10">
        <f t="shared" si="0"/>
        <v>226.66666666666666</v>
      </c>
      <c r="E42" s="11">
        <v>30</v>
      </c>
      <c r="F42" s="24">
        <v>48</v>
      </c>
      <c r="G42" s="12">
        <f t="shared" si="1"/>
        <v>160</v>
      </c>
      <c r="H42" s="9">
        <v>50</v>
      </c>
      <c r="I42" s="24">
        <v>64</v>
      </c>
      <c r="J42" s="10">
        <f t="shared" si="2"/>
        <v>128</v>
      </c>
    </row>
    <row r="43" spans="1:10" ht="16.5" x14ac:dyDescent="0.45">
      <c r="A43" s="22" t="s">
        <v>25</v>
      </c>
      <c r="B43" s="11">
        <v>278</v>
      </c>
      <c r="C43" s="24">
        <v>212</v>
      </c>
      <c r="D43" s="10">
        <f t="shared" si="0"/>
        <v>76.258992805755398</v>
      </c>
      <c r="E43" s="11">
        <v>278</v>
      </c>
      <c r="F43" s="24">
        <v>223</v>
      </c>
      <c r="G43" s="12">
        <f t="shared" si="1"/>
        <v>80.2158273381295</v>
      </c>
      <c r="H43" s="9">
        <v>348</v>
      </c>
      <c r="I43" s="24">
        <v>261</v>
      </c>
      <c r="J43" s="10">
        <f t="shared" si="2"/>
        <v>75</v>
      </c>
    </row>
    <row r="44" spans="1:10" ht="16.5" x14ac:dyDescent="0.45">
      <c r="A44" s="22" t="s">
        <v>33</v>
      </c>
      <c r="B44" s="11">
        <v>112</v>
      </c>
      <c r="C44" s="24">
        <v>59</v>
      </c>
      <c r="D44" s="10">
        <f t="shared" si="0"/>
        <v>52.678571428571431</v>
      </c>
      <c r="E44" s="11">
        <v>112</v>
      </c>
      <c r="F44" s="24">
        <v>38</v>
      </c>
      <c r="G44" s="12">
        <f t="shared" si="1"/>
        <v>33.928571428571431</v>
      </c>
      <c r="H44" s="9">
        <v>133</v>
      </c>
      <c r="I44" s="24">
        <v>69</v>
      </c>
      <c r="J44" s="10">
        <f t="shared" si="2"/>
        <v>51.879699248120303</v>
      </c>
    </row>
    <row r="45" spans="1:10" ht="16.5" x14ac:dyDescent="0.45">
      <c r="A45" s="22" t="s">
        <v>13</v>
      </c>
      <c r="B45" s="11">
        <v>403</v>
      </c>
      <c r="C45" s="24">
        <v>269</v>
      </c>
      <c r="D45" s="10">
        <f t="shared" si="0"/>
        <v>66.749379652605455</v>
      </c>
      <c r="E45" s="11">
        <v>403</v>
      </c>
      <c r="F45" s="24">
        <v>197</v>
      </c>
      <c r="G45" s="12">
        <f t="shared" si="1"/>
        <v>48.883374689826304</v>
      </c>
      <c r="H45" s="9">
        <v>254</v>
      </c>
      <c r="I45" s="24">
        <v>613</v>
      </c>
      <c r="J45" s="10">
        <f t="shared" si="2"/>
        <v>241.33858267716536</v>
      </c>
    </row>
  </sheetData>
  <mergeCells count="7">
    <mergeCell ref="A1:J2"/>
    <mergeCell ref="A3:J3"/>
    <mergeCell ref="A4:J4"/>
    <mergeCell ref="A5:A6"/>
    <mergeCell ref="B5:D5"/>
    <mergeCell ref="E5:G5"/>
    <mergeCell ref="H5:J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1915-666A-476C-9BEC-15855E267F6E}">
  <dimension ref="A1:J45"/>
  <sheetViews>
    <sheetView topLeftCell="A27" workbookViewId="0">
      <selection activeCell="O34" sqref="O34"/>
    </sheetView>
  </sheetViews>
  <sheetFormatPr baseColWidth="10" defaultRowHeight="14.5" x14ac:dyDescent="0.35"/>
  <sheetData>
    <row r="1" spans="1:10" x14ac:dyDescent="0.35">
      <c r="A1" s="37" t="s">
        <v>58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8.5" x14ac:dyDescent="0.3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3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44" t="s">
        <v>2</v>
      </c>
      <c r="B5" s="46" t="s">
        <v>55</v>
      </c>
      <c r="C5" s="47"/>
      <c r="D5" s="48"/>
      <c r="E5" s="46" t="s">
        <v>56</v>
      </c>
      <c r="F5" s="47"/>
      <c r="G5" s="48"/>
      <c r="H5" s="46" t="s">
        <v>57</v>
      </c>
      <c r="I5" s="47"/>
      <c r="J5" s="48"/>
    </row>
    <row r="6" spans="1:10" ht="43.5" x14ac:dyDescent="0.35">
      <c r="A6" s="45"/>
      <c r="B6" s="5" t="s">
        <v>42</v>
      </c>
      <c r="C6" s="23" t="s">
        <v>45</v>
      </c>
      <c r="D6" s="33" t="s">
        <v>44</v>
      </c>
      <c r="E6" s="5" t="s">
        <v>42</v>
      </c>
      <c r="F6" s="23" t="s">
        <v>46</v>
      </c>
      <c r="G6" s="33" t="s">
        <v>44</v>
      </c>
      <c r="H6" s="5" t="s">
        <v>42</v>
      </c>
      <c r="I6" s="23" t="s">
        <v>43</v>
      </c>
      <c r="J6" s="5" t="s">
        <v>44</v>
      </c>
    </row>
    <row r="7" spans="1:10" ht="16.5" x14ac:dyDescent="0.45">
      <c r="A7" s="22" t="s">
        <v>26</v>
      </c>
      <c r="B7" s="11">
        <v>499</v>
      </c>
      <c r="C7" s="24">
        <v>261</v>
      </c>
      <c r="D7" s="10">
        <f t="shared" ref="D7:D45" si="0">SUM(C7/B7*100)</f>
        <v>52.304609218436873</v>
      </c>
      <c r="E7" s="11">
        <v>499</v>
      </c>
      <c r="F7" s="24">
        <v>168</v>
      </c>
      <c r="G7" s="12">
        <f t="shared" ref="G7:G45" si="1">SUM(F7/E7*100)</f>
        <v>33.667334669338679</v>
      </c>
      <c r="H7" s="9">
        <v>560</v>
      </c>
      <c r="I7" s="24">
        <v>245</v>
      </c>
      <c r="J7" s="10">
        <f t="shared" ref="J7:J45" si="2">SUM(I7/H7*100)</f>
        <v>43.75</v>
      </c>
    </row>
    <row r="8" spans="1:10" ht="16.5" x14ac:dyDescent="0.45">
      <c r="A8" s="22" t="s">
        <v>27</v>
      </c>
      <c r="B8" s="11">
        <v>54</v>
      </c>
      <c r="C8" s="24">
        <v>40</v>
      </c>
      <c r="D8" s="10">
        <f t="shared" si="0"/>
        <v>74.074074074074076</v>
      </c>
      <c r="E8" s="11">
        <v>54</v>
      </c>
      <c r="F8" s="24">
        <v>40</v>
      </c>
      <c r="G8" s="12">
        <f t="shared" si="1"/>
        <v>74.074074074074076</v>
      </c>
      <c r="H8" s="9">
        <v>51</v>
      </c>
      <c r="I8" s="24">
        <v>46</v>
      </c>
      <c r="J8" s="10">
        <f t="shared" si="2"/>
        <v>90.196078431372555</v>
      </c>
    </row>
    <row r="9" spans="1:10" ht="29" x14ac:dyDescent="0.45">
      <c r="A9" s="22" t="s">
        <v>34</v>
      </c>
      <c r="B9" s="11">
        <v>61</v>
      </c>
      <c r="C9" s="24">
        <v>30</v>
      </c>
      <c r="D9" s="10">
        <f t="shared" si="0"/>
        <v>49.180327868852459</v>
      </c>
      <c r="E9" s="11">
        <v>61</v>
      </c>
      <c r="F9" s="24">
        <v>25</v>
      </c>
      <c r="G9" s="12">
        <f t="shared" si="1"/>
        <v>40.983606557377051</v>
      </c>
      <c r="H9" s="11">
        <v>105</v>
      </c>
      <c r="I9" s="24">
        <v>35</v>
      </c>
      <c r="J9" s="10">
        <f t="shared" si="2"/>
        <v>33.333333333333329</v>
      </c>
    </row>
    <row r="10" spans="1:10" ht="16.5" x14ac:dyDescent="0.45">
      <c r="A10" s="22" t="s">
        <v>14</v>
      </c>
      <c r="B10" s="11">
        <v>643</v>
      </c>
      <c r="C10" s="24">
        <v>314</v>
      </c>
      <c r="D10" s="10">
        <f t="shared" si="0"/>
        <v>48.833592534992228</v>
      </c>
      <c r="E10" s="11">
        <v>643</v>
      </c>
      <c r="F10" s="24">
        <v>198</v>
      </c>
      <c r="G10" s="12">
        <f t="shared" si="1"/>
        <v>30.793157076205286</v>
      </c>
      <c r="H10" s="9">
        <v>843</v>
      </c>
      <c r="I10" s="24">
        <v>302</v>
      </c>
      <c r="J10" s="10">
        <f t="shared" si="2"/>
        <v>35.824436536180308</v>
      </c>
    </row>
    <row r="11" spans="1:10" ht="16.5" x14ac:dyDescent="0.45">
      <c r="A11" s="22" t="s">
        <v>3</v>
      </c>
      <c r="B11" s="11">
        <v>8431</v>
      </c>
      <c r="C11" s="25">
        <v>6577</v>
      </c>
      <c r="D11" s="10">
        <f t="shared" si="0"/>
        <v>78.009726011149326</v>
      </c>
      <c r="E11" s="11">
        <v>8431</v>
      </c>
      <c r="F11" s="27">
        <v>6651</v>
      </c>
      <c r="G11" s="12">
        <f t="shared" si="1"/>
        <v>78.887439212430323</v>
      </c>
      <c r="H11" s="8">
        <v>10719</v>
      </c>
      <c r="I11" s="27">
        <v>8893</v>
      </c>
      <c r="J11" s="10">
        <f t="shared" si="2"/>
        <v>82.964828808657515</v>
      </c>
    </row>
    <row r="12" spans="1:10" ht="16.5" x14ac:dyDescent="0.45">
      <c r="A12" s="22" t="s">
        <v>35</v>
      </c>
      <c r="B12" s="11">
        <v>117</v>
      </c>
      <c r="C12" s="24">
        <v>59</v>
      </c>
      <c r="D12" s="10">
        <f t="shared" si="0"/>
        <v>50.427350427350426</v>
      </c>
      <c r="E12" s="11">
        <v>117</v>
      </c>
      <c r="F12" s="24">
        <v>44</v>
      </c>
      <c r="G12" s="12">
        <f t="shared" si="1"/>
        <v>37.606837606837608</v>
      </c>
      <c r="H12" s="9">
        <v>64</v>
      </c>
      <c r="I12" s="24">
        <v>72</v>
      </c>
      <c r="J12" s="10">
        <f t="shared" si="2"/>
        <v>112.5</v>
      </c>
    </row>
    <row r="13" spans="1:10" ht="43.5" x14ac:dyDescent="0.45">
      <c r="A13" s="22" t="s">
        <v>15</v>
      </c>
      <c r="B13" s="11">
        <v>236</v>
      </c>
      <c r="C13" s="24">
        <v>113</v>
      </c>
      <c r="D13" s="10">
        <f t="shared" si="0"/>
        <v>47.881355932203391</v>
      </c>
      <c r="E13" s="11">
        <v>236</v>
      </c>
      <c r="F13" s="24">
        <v>123</v>
      </c>
      <c r="G13" s="12">
        <f t="shared" si="1"/>
        <v>52.118644067796616</v>
      </c>
      <c r="H13" s="9">
        <v>231</v>
      </c>
      <c r="I13" s="24">
        <v>158</v>
      </c>
      <c r="J13" s="10">
        <f t="shared" si="2"/>
        <v>68.398268398268399</v>
      </c>
    </row>
    <row r="14" spans="1:10" ht="29" x14ac:dyDescent="0.45">
      <c r="A14" s="22" t="s">
        <v>16</v>
      </c>
      <c r="B14" s="11">
        <v>5736</v>
      </c>
      <c r="C14" s="24">
        <v>4025</v>
      </c>
      <c r="D14" s="10">
        <f t="shared" si="0"/>
        <v>70.170850767085085</v>
      </c>
      <c r="E14" s="11">
        <v>5736</v>
      </c>
      <c r="F14" s="24">
        <v>2455</v>
      </c>
      <c r="G14" s="12">
        <f t="shared" si="1"/>
        <v>42.799860529986056</v>
      </c>
      <c r="H14" s="9">
        <v>6878</v>
      </c>
      <c r="I14" s="24">
        <v>2283</v>
      </c>
      <c r="J14" s="10">
        <f t="shared" si="2"/>
        <v>33.192788601337597</v>
      </c>
    </row>
    <row r="15" spans="1:10" ht="29" x14ac:dyDescent="0.45">
      <c r="A15" s="22" t="s">
        <v>4</v>
      </c>
      <c r="B15" s="11">
        <v>576</v>
      </c>
      <c r="C15" s="29">
        <v>301</v>
      </c>
      <c r="D15" s="10">
        <f t="shared" si="0"/>
        <v>52.256944444444443</v>
      </c>
      <c r="E15" s="11">
        <v>576</v>
      </c>
      <c r="F15" s="24">
        <v>260</v>
      </c>
      <c r="G15" s="12">
        <f t="shared" si="1"/>
        <v>45.138888888888893</v>
      </c>
      <c r="H15" s="9">
        <v>657</v>
      </c>
      <c r="I15" s="24">
        <v>353</v>
      </c>
      <c r="J15" s="10">
        <f t="shared" si="2"/>
        <v>53.729071537290721</v>
      </c>
    </row>
    <row r="16" spans="1:10" ht="16.5" x14ac:dyDescent="0.45">
      <c r="A16" s="22" t="s">
        <v>28</v>
      </c>
      <c r="B16" s="11">
        <v>137</v>
      </c>
      <c r="C16" s="24">
        <v>41</v>
      </c>
      <c r="D16" s="10">
        <f t="shared" si="0"/>
        <v>29.927007299270077</v>
      </c>
      <c r="E16" s="11">
        <v>137</v>
      </c>
      <c r="F16" s="24">
        <v>43</v>
      </c>
      <c r="G16" s="12">
        <f t="shared" si="1"/>
        <v>31.386861313868614</v>
      </c>
      <c r="H16" s="9">
        <v>184</v>
      </c>
      <c r="I16" s="24">
        <v>55</v>
      </c>
      <c r="J16" s="10">
        <f t="shared" si="2"/>
        <v>29.891304347826086</v>
      </c>
    </row>
    <row r="17" spans="1:10" ht="16.5" x14ac:dyDescent="0.45">
      <c r="A17" s="22" t="s">
        <v>36</v>
      </c>
      <c r="B17" s="11">
        <v>62</v>
      </c>
      <c r="C17" s="24">
        <v>15</v>
      </c>
      <c r="D17" s="10">
        <f t="shared" si="0"/>
        <v>24.193548387096776</v>
      </c>
      <c r="E17" s="11">
        <v>62</v>
      </c>
      <c r="F17" s="24">
        <v>26</v>
      </c>
      <c r="G17" s="12">
        <f t="shared" si="1"/>
        <v>41.935483870967744</v>
      </c>
      <c r="H17" s="9">
        <v>69</v>
      </c>
      <c r="I17" s="24">
        <v>39</v>
      </c>
      <c r="J17" s="10">
        <f t="shared" si="2"/>
        <v>56.521739130434781</v>
      </c>
    </row>
    <row r="18" spans="1:10" ht="16.5" x14ac:dyDescent="0.45">
      <c r="A18" s="22" t="s">
        <v>37</v>
      </c>
      <c r="B18" s="11">
        <v>62</v>
      </c>
      <c r="C18" s="24">
        <v>36</v>
      </c>
      <c r="D18" s="10">
        <f t="shared" si="0"/>
        <v>58.064516129032263</v>
      </c>
      <c r="E18" s="11">
        <v>62</v>
      </c>
      <c r="F18" s="24">
        <v>21</v>
      </c>
      <c r="G18" s="12">
        <f t="shared" si="1"/>
        <v>33.87096774193548</v>
      </c>
      <c r="H18" s="9">
        <v>75</v>
      </c>
      <c r="I18" s="24">
        <v>22</v>
      </c>
      <c r="J18" s="10">
        <f t="shared" si="2"/>
        <v>29.333333333333332</v>
      </c>
    </row>
    <row r="19" spans="1:10" ht="16.5" x14ac:dyDescent="0.45">
      <c r="A19" s="22" t="s">
        <v>17</v>
      </c>
      <c r="B19" s="11">
        <v>2230</v>
      </c>
      <c r="C19" s="24">
        <v>1752</v>
      </c>
      <c r="D19" s="10">
        <f t="shared" si="0"/>
        <v>78.56502242152466</v>
      </c>
      <c r="E19" s="11">
        <v>2230</v>
      </c>
      <c r="F19" s="24">
        <v>1513</v>
      </c>
      <c r="G19" s="12">
        <f t="shared" si="1"/>
        <v>67.847533632286996</v>
      </c>
      <c r="H19" s="9">
        <v>2609</v>
      </c>
      <c r="I19" s="24">
        <v>1539</v>
      </c>
      <c r="J19" s="10">
        <f t="shared" si="2"/>
        <v>58.988118052893832</v>
      </c>
    </row>
    <row r="20" spans="1:10" ht="16.5" x14ac:dyDescent="0.45">
      <c r="A20" s="22" t="s">
        <v>18</v>
      </c>
      <c r="B20" s="11">
        <v>543</v>
      </c>
      <c r="C20" s="24">
        <v>371</v>
      </c>
      <c r="D20" s="10">
        <f t="shared" si="0"/>
        <v>68.324125230202583</v>
      </c>
      <c r="E20" s="11">
        <v>543</v>
      </c>
      <c r="F20" s="24">
        <v>402</v>
      </c>
      <c r="G20" s="12">
        <f t="shared" si="1"/>
        <v>74.033149171270722</v>
      </c>
      <c r="H20" s="9">
        <v>634</v>
      </c>
      <c r="I20" s="24">
        <v>350</v>
      </c>
      <c r="J20" s="10">
        <f t="shared" si="2"/>
        <v>55.205047318611989</v>
      </c>
    </row>
    <row r="21" spans="1:10" ht="16.5" x14ac:dyDescent="0.45">
      <c r="A21" s="22" t="s">
        <v>5</v>
      </c>
      <c r="B21" s="11">
        <v>1425</v>
      </c>
      <c r="C21" s="24">
        <v>740</v>
      </c>
      <c r="D21" s="10">
        <f t="shared" si="0"/>
        <v>51.929824561403507</v>
      </c>
      <c r="E21" s="11">
        <v>1425</v>
      </c>
      <c r="F21" s="24">
        <v>541</v>
      </c>
      <c r="G21" s="12">
        <f t="shared" si="1"/>
        <v>37.964912280701753</v>
      </c>
      <c r="H21" s="11">
        <v>1082</v>
      </c>
      <c r="I21" s="24">
        <v>840</v>
      </c>
      <c r="J21" s="10">
        <f t="shared" si="2"/>
        <v>77.634011090573011</v>
      </c>
    </row>
    <row r="22" spans="1:10" ht="16.5" x14ac:dyDescent="0.45">
      <c r="A22" s="17" t="s">
        <v>19</v>
      </c>
      <c r="B22" s="11">
        <v>284</v>
      </c>
      <c r="C22" s="11">
        <v>139</v>
      </c>
      <c r="D22" s="10">
        <f t="shared" si="0"/>
        <v>48.943661971830984</v>
      </c>
      <c r="E22" s="11">
        <v>284</v>
      </c>
      <c r="F22" s="11">
        <v>123</v>
      </c>
      <c r="G22" s="12">
        <f t="shared" si="1"/>
        <v>43.309859154929576</v>
      </c>
      <c r="H22" s="11">
        <v>376</v>
      </c>
      <c r="I22" s="11">
        <v>126</v>
      </c>
      <c r="J22" s="10">
        <f t="shared" si="2"/>
        <v>33.51063829787234</v>
      </c>
    </row>
    <row r="23" spans="1:10" ht="29" x14ac:dyDescent="0.45">
      <c r="A23" s="22" t="s">
        <v>6</v>
      </c>
      <c r="B23" s="11">
        <v>488</v>
      </c>
      <c r="C23" s="24">
        <v>126</v>
      </c>
      <c r="D23" s="10">
        <f t="shared" si="0"/>
        <v>25.819672131147541</v>
      </c>
      <c r="E23" s="11">
        <v>488</v>
      </c>
      <c r="F23" s="24">
        <v>133</v>
      </c>
      <c r="G23" s="12">
        <f t="shared" si="1"/>
        <v>27.254098360655739</v>
      </c>
      <c r="H23" s="9">
        <v>514</v>
      </c>
      <c r="I23" s="24">
        <v>209</v>
      </c>
      <c r="J23" s="10">
        <f t="shared" si="2"/>
        <v>40.661478599221788</v>
      </c>
    </row>
    <row r="24" spans="1:10" ht="16.5" x14ac:dyDescent="0.45">
      <c r="A24" s="22" t="s">
        <v>29</v>
      </c>
      <c r="B24" s="11">
        <v>443</v>
      </c>
      <c r="C24" s="24">
        <v>384</v>
      </c>
      <c r="D24" s="10">
        <f t="shared" si="0"/>
        <v>86.681715575620771</v>
      </c>
      <c r="E24" s="11">
        <v>443</v>
      </c>
      <c r="F24" s="24">
        <v>394</v>
      </c>
      <c r="G24" s="12">
        <f t="shared" si="1"/>
        <v>88.939051918735885</v>
      </c>
      <c r="H24" s="9">
        <v>425</v>
      </c>
      <c r="I24" s="24">
        <v>313</v>
      </c>
      <c r="J24" s="10">
        <f t="shared" si="2"/>
        <v>73.647058823529406</v>
      </c>
    </row>
    <row r="25" spans="1:10" ht="16.5" x14ac:dyDescent="0.45">
      <c r="A25" s="22" t="s">
        <v>38</v>
      </c>
      <c r="B25" s="11">
        <v>130</v>
      </c>
      <c r="C25" s="24">
        <v>40</v>
      </c>
      <c r="D25" s="10">
        <f t="shared" si="0"/>
        <v>30.76923076923077</v>
      </c>
      <c r="E25" s="11">
        <v>130</v>
      </c>
      <c r="F25" s="24">
        <v>27</v>
      </c>
      <c r="G25" s="12">
        <f t="shared" si="1"/>
        <v>20.76923076923077</v>
      </c>
      <c r="H25" s="9">
        <v>123</v>
      </c>
      <c r="I25" s="24">
        <v>61</v>
      </c>
      <c r="J25" s="10">
        <f t="shared" si="2"/>
        <v>49.59349593495935</v>
      </c>
    </row>
    <row r="26" spans="1:10" ht="16.5" x14ac:dyDescent="0.45">
      <c r="A26" s="22" t="s">
        <v>30</v>
      </c>
      <c r="B26" s="11">
        <v>99</v>
      </c>
      <c r="C26" s="24">
        <v>69</v>
      </c>
      <c r="D26" s="10">
        <f t="shared" si="0"/>
        <v>69.696969696969703</v>
      </c>
      <c r="E26" s="11">
        <v>99</v>
      </c>
      <c r="F26" s="24">
        <v>35</v>
      </c>
      <c r="G26" s="12">
        <f t="shared" si="1"/>
        <v>35.353535353535356</v>
      </c>
      <c r="H26" s="9">
        <v>95</v>
      </c>
      <c r="I26" s="24">
        <v>43</v>
      </c>
      <c r="J26" s="10">
        <f t="shared" si="2"/>
        <v>45.263157894736842</v>
      </c>
    </row>
    <row r="27" spans="1:10" ht="29" x14ac:dyDescent="0.45">
      <c r="A27" s="22" t="s">
        <v>7</v>
      </c>
      <c r="B27" s="11">
        <v>224</v>
      </c>
      <c r="C27" s="24">
        <v>75</v>
      </c>
      <c r="D27" s="10">
        <f t="shared" si="0"/>
        <v>33.482142857142854</v>
      </c>
      <c r="E27" s="11">
        <v>224</v>
      </c>
      <c r="F27" s="24">
        <v>115</v>
      </c>
      <c r="G27" s="12">
        <f t="shared" si="1"/>
        <v>51.339285714285708</v>
      </c>
      <c r="H27" s="9">
        <v>243</v>
      </c>
      <c r="I27" s="24">
        <v>205</v>
      </c>
      <c r="J27" s="10">
        <f t="shared" si="2"/>
        <v>84.362139917695472</v>
      </c>
    </row>
    <row r="28" spans="1:10" ht="29" x14ac:dyDescent="0.45">
      <c r="A28" s="22" t="s">
        <v>20</v>
      </c>
      <c r="B28" s="11">
        <v>220</v>
      </c>
      <c r="C28" s="24">
        <v>88</v>
      </c>
      <c r="D28" s="10">
        <f t="shared" si="0"/>
        <v>40</v>
      </c>
      <c r="E28" s="11">
        <v>220</v>
      </c>
      <c r="F28" s="24">
        <v>104</v>
      </c>
      <c r="G28" s="12">
        <f t="shared" si="1"/>
        <v>47.272727272727273</v>
      </c>
      <c r="H28" s="9">
        <v>212</v>
      </c>
      <c r="I28" s="24">
        <v>256</v>
      </c>
      <c r="J28" s="10">
        <f t="shared" si="2"/>
        <v>120.75471698113208</v>
      </c>
    </row>
    <row r="29" spans="1:10" ht="16.5" x14ac:dyDescent="0.45">
      <c r="A29" s="22" t="s">
        <v>8</v>
      </c>
      <c r="B29" s="11">
        <v>135</v>
      </c>
      <c r="C29" s="24">
        <v>84</v>
      </c>
      <c r="D29" s="10">
        <f t="shared" si="0"/>
        <v>62.222222222222221</v>
      </c>
      <c r="E29" s="11">
        <v>135</v>
      </c>
      <c r="F29" s="24">
        <v>70</v>
      </c>
      <c r="G29" s="12">
        <f t="shared" si="1"/>
        <v>51.851851851851848</v>
      </c>
      <c r="H29" s="9">
        <v>190</v>
      </c>
      <c r="I29" s="24">
        <v>134</v>
      </c>
      <c r="J29" s="10">
        <f t="shared" si="2"/>
        <v>70.526315789473685</v>
      </c>
    </row>
    <row r="30" spans="1:10" ht="29" x14ac:dyDescent="0.45">
      <c r="A30" s="22" t="s">
        <v>9</v>
      </c>
      <c r="B30" s="11">
        <v>1283</v>
      </c>
      <c r="C30" s="24">
        <v>509</v>
      </c>
      <c r="D30" s="10">
        <f t="shared" si="0"/>
        <v>39.672642244738896</v>
      </c>
      <c r="E30" s="11">
        <v>1283</v>
      </c>
      <c r="F30" s="24">
        <v>392</v>
      </c>
      <c r="G30" s="12">
        <f t="shared" si="1"/>
        <v>30.55339049103663</v>
      </c>
      <c r="H30" s="9">
        <v>1399</v>
      </c>
      <c r="I30" s="24">
        <v>584</v>
      </c>
      <c r="J30" s="10">
        <f t="shared" si="2"/>
        <v>41.744102930664759</v>
      </c>
    </row>
    <row r="31" spans="1:10" ht="16.5" x14ac:dyDescent="0.45">
      <c r="A31" s="22" t="s">
        <v>39</v>
      </c>
      <c r="B31" s="11">
        <v>259</v>
      </c>
      <c r="C31" s="24">
        <v>104</v>
      </c>
      <c r="D31" s="10">
        <f t="shared" si="0"/>
        <v>40.154440154440152</v>
      </c>
      <c r="E31" s="11">
        <v>259</v>
      </c>
      <c r="F31" s="24">
        <v>110</v>
      </c>
      <c r="G31" s="12">
        <f t="shared" si="1"/>
        <v>42.471042471042466</v>
      </c>
      <c r="H31" s="9">
        <v>208</v>
      </c>
      <c r="I31" s="24">
        <v>86</v>
      </c>
      <c r="J31" s="10">
        <f t="shared" si="2"/>
        <v>41.346153846153847</v>
      </c>
    </row>
    <row r="32" spans="1:10" ht="29" x14ac:dyDescent="0.45">
      <c r="A32" s="22" t="s">
        <v>40</v>
      </c>
      <c r="B32" s="11">
        <v>36</v>
      </c>
      <c r="C32" s="24">
        <v>5</v>
      </c>
      <c r="D32" s="10">
        <f t="shared" si="0"/>
        <v>13.888888888888889</v>
      </c>
      <c r="E32" s="11">
        <v>36</v>
      </c>
      <c r="F32" s="24">
        <v>4</v>
      </c>
      <c r="G32" s="12">
        <f t="shared" si="1"/>
        <v>11.111111111111111</v>
      </c>
      <c r="H32" s="9">
        <v>36</v>
      </c>
      <c r="I32" s="24">
        <v>13</v>
      </c>
      <c r="J32" s="10">
        <f t="shared" si="2"/>
        <v>36.111111111111107</v>
      </c>
    </row>
    <row r="33" spans="1:10" ht="16.5" x14ac:dyDescent="0.45">
      <c r="A33" s="22" t="s">
        <v>10</v>
      </c>
      <c r="B33" s="11">
        <v>581</v>
      </c>
      <c r="C33" s="24">
        <v>167</v>
      </c>
      <c r="D33" s="10">
        <f t="shared" si="0"/>
        <v>28.743545611015492</v>
      </c>
      <c r="E33" s="11">
        <v>581</v>
      </c>
      <c r="F33" s="24">
        <v>189</v>
      </c>
      <c r="G33" s="12">
        <f t="shared" si="1"/>
        <v>32.53012048192771</v>
      </c>
      <c r="H33" s="9">
        <v>608</v>
      </c>
      <c r="I33" s="24">
        <v>183</v>
      </c>
      <c r="J33" s="10">
        <f t="shared" si="2"/>
        <v>30.098684210526315</v>
      </c>
    </row>
    <row r="34" spans="1:10" ht="29" x14ac:dyDescent="0.45">
      <c r="A34" s="22" t="s">
        <v>41</v>
      </c>
      <c r="B34" s="11">
        <v>129</v>
      </c>
      <c r="C34" s="24">
        <v>64</v>
      </c>
      <c r="D34" s="10">
        <f t="shared" si="0"/>
        <v>49.612403100775197</v>
      </c>
      <c r="E34" s="11">
        <v>129</v>
      </c>
      <c r="F34" s="24">
        <v>85</v>
      </c>
      <c r="G34" s="12">
        <f t="shared" si="1"/>
        <v>65.891472868217051</v>
      </c>
      <c r="H34" s="9">
        <v>153</v>
      </c>
      <c r="I34" s="24">
        <v>95</v>
      </c>
      <c r="J34" s="10">
        <f t="shared" si="2"/>
        <v>62.091503267973856</v>
      </c>
    </row>
    <row r="35" spans="1:10" ht="29" x14ac:dyDescent="0.45">
      <c r="A35" s="22" t="s">
        <v>21</v>
      </c>
      <c r="B35" s="11">
        <v>228</v>
      </c>
      <c r="C35" s="24">
        <v>63</v>
      </c>
      <c r="D35" s="10">
        <f t="shared" si="0"/>
        <v>27.631578947368425</v>
      </c>
      <c r="E35" s="11">
        <v>228</v>
      </c>
      <c r="F35" s="24">
        <v>54</v>
      </c>
      <c r="G35" s="12">
        <f t="shared" si="1"/>
        <v>23.684210526315788</v>
      </c>
      <c r="H35" s="9">
        <v>219</v>
      </c>
      <c r="I35" s="24">
        <v>67</v>
      </c>
      <c r="J35" s="10">
        <f t="shared" si="2"/>
        <v>30.593607305936072</v>
      </c>
    </row>
    <row r="36" spans="1:10" ht="29" x14ac:dyDescent="0.45">
      <c r="A36" s="22" t="s">
        <v>22</v>
      </c>
      <c r="B36" s="11">
        <v>33</v>
      </c>
      <c r="C36" s="24">
        <v>44</v>
      </c>
      <c r="D36" s="10">
        <f t="shared" si="0"/>
        <v>133.33333333333331</v>
      </c>
      <c r="E36" s="11">
        <v>33</v>
      </c>
      <c r="F36" s="24">
        <v>25</v>
      </c>
      <c r="G36" s="12">
        <f t="shared" si="1"/>
        <v>75.757575757575751</v>
      </c>
      <c r="H36" s="9">
        <v>38</v>
      </c>
      <c r="I36" s="24">
        <v>11</v>
      </c>
      <c r="J36" s="10">
        <f t="shared" si="2"/>
        <v>28.947368421052634</v>
      </c>
    </row>
    <row r="37" spans="1:10" ht="29" x14ac:dyDescent="0.45">
      <c r="A37" s="22" t="s">
        <v>23</v>
      </c>
      <c r="B37" s="11">
        <v>38</v>
      </c>
      <c r="C37" s="24">
        <v>16</v>
      </c>
      <c r="D37" s="10">
        <f t="shared" si="0"/>
        <v>42.105263157894733</v>
      </c>
      <c r="E37" s="11">
        <v>38</v>
      </c>
      <c r="F37" s="24">
        <v>6</v>
      </c>
      <c r="G37" s="12">
        <f t="shared" si="1"/>
        <v>15.789473684210526</v>
      </c>
      <c r="H37" s="9">
        <v>41</v>
      </c>
      <c r="I37" s="24">
        <v>16</v>
      </c>
      <c r="J37" s="10">
        <f t="shared" si="2"/>
        <v>39.024390243902438</v>
      </c>
    </row>
    <row r="38" spans="1:10" ht="16.5" x14ac:dyDescent="0.45">
      <c r="A38" s="22" t="s">
        <v>24</v>
      </c>
      <c r="B38" s="11">
        <v>130</v>
      </c>
      <c r="C38" s="24">
        <v>34</v>
      </c>
      <c r="D38" s="10">
        <f t="shared" si="0"/>
        <v>26.153846153846157</v>
      </c>
      <c r="E38" s="11">
        <v>130</v>
      </c>
      <c r="F38" s="24">
        <v>45</v>
      </c>
      <c r="G38" s="12">
        <f t="shared" si="1"/>
        <v>34.615384615384613</v>
      </c>
      <c r="H38" s="9">
        <v>140</v>
      </c>
      <c r="I38" s="24">
        <v>66</v>
      </c>
      <c r="J38" s="10">
        <f t="shared" si="2"/>
        <v>47.142857142857139</v>
      </c>
    </row>
    <row r="39" spans="1:10" ht="43.5" x14ac:dyDescent="0.45">
      <c r="A39" s="22" t="s">
        <v>31</v>
      </c>
      <c r="B39" s="11">
        <v>1467</v>
      </c>
      <c r="C39" s="24">
        <v>438</v>
      </c>
      <c r="D39" s="10">
        <f t="shared" si="0"/>
        <v>29.856850715746418</v>
      </c>
      <c r="E39" s="11">
        <v>1467</v>
      </c>
      <c r="F39" s="24">
        <v>49</v>
      </c>
      <c r="G39" s="12">
        <f t="shared" si="1"/>
        <v>3.3401499659168374</v>
      </c>
      <c r="H39" s="9">
        <v>1144</v>
      </c>
      <c r="I39" s="24">
        <v>334</v>
      </c>
      <c r="J39" s="10">
        <f t="shared" si="2"/>
        <v>29.195804195804197</v>
      </c>
    </row>
    <row r="40" spans="1:10" ht="16.5" x14ac:dyDescent="0.45">
      <c r="A40" s="22" t="s">
        <v>11</v>
      </c>
      <c r="B40" s="11">
        <v>166</v>
      </c>
      <c r="C40" s="24">
        <v>48</v>
      </c>
      <c r="D40" s="10">
        <f t="shared" si="0"/>
        <v>28.915662650602407</v>
      </c>
      <c r="E40" s="11">
        <v>166</v>
      </c>
      <c r="F40" s="24">
        <v>62</v>
      </c>
      <c r="G40" s="12">
        <f t="shared" si="1"/>
        <v>37.349397590361441</v>
      </c>
      <c r="H40" s="9">
        <v>177</v>
      </c>
      <c r="I40" s="24">
        <v>76</v>
      </c>
      <c r="J40" s="10">
        <f t="shared" si="2"/>
        <v>42.93785310734463</v>
      </c>
    </row>
    <row r="41" spans="1:10" ht="16.5" x14ac:dyDescent="0.45">
      <c r="A41" s="22" t="s">
        <v>12</v>
      </c>
      <c r="B41" s="11">
        <v>952</v>
      </c>
      <c r="C41" s="24">
        <v>146</v>
      </c>
      <c r="D41" s="10">
        <f t="shared" si="0"/>
        <v>15.336134453781513</v>
      </c>
      <c r="E41" s="11">
        <v>952</v>
      </c>
      <c r="F41" s="24">
        <v>140</v>
      </c>
      <c r="G41" s="12">
        <f t="shared" si="1"/>
        <v>14.705882352941178</v>
      </c>
      <c r="H41" s="9">
        <v>851</v>
      </c>
      <c r="I41" s="24">
        <v>164</v>
      </c>
      <c r="J41" s="10">
        <f t="shared" si="2"/>
        <v>19.271445358401881</v>
      </c>
    </row>
    <row r="42" spans="1:10" ht="29" x14ac:dyDescent="0.45">
      <c r="A42" s="22" t="s">
        <v>32</v>
      </c>
      <c r="B42" s="11">
        <v>30</v>
      </c>
      <c r="C42" s="24">
        <v>70</v>
      </c>
      <c r="D42" s="10">
        <f t="shared" si="0"/>
        <v>233.33333333333334</v>
      </c>
      <c r="E42" s="11">
        <v>30</v>
      </c>
      <c r="F42" s="24">
        <v>50</v>
      </c>
      <c r="G42" s="12">
        <f t="shared" si="1"/>
        <v>166.66666666666669</v>
      </c>
      <c r="H42" s="9">
        <v>50</v>
      </c>
      <c r="I42" s="24">
        <v>64</v>
      </c>
      <c r="J42" s="10">
        <f t="shared" si="2"/>
        <v>128</v>
      </c>
    </row>
    <row r="43" spans="1:10" ht="16.5" x14ac:dyDescent="0.45">
      <c r="A43" s="22" t="s">
        <v>25</v>
      </c>
      <c r="B43" s="11">
        <v>278</v>
      </c>
      <c r="C43" s="24">
        <v>232</v>
      </c>
      <c r="D43" s="10">
        <f t="shared" si="0"/>
        <v>83.453237410071949</v>
      </c>
      <c r="E43" s="11">
        <v>278</v>
      </c>
      <c r="F43" s="24">
        <v>227</v>
      </c>
      <c r="G43" s="12">
        <f t="shared" si="1"/>
        <v>81.654676258992808</v>
      </c>
      <c r="H43" s="9">
        <v>348</v>
      </c>
      <c r="I43" s="24">
        <v>267</v>
      </c>
      <c r="J43" s="10">
        <f t="shared" si="2"/>
        <v>76.724137931034491</v>
      </c>
    </row>
    <row r="44" spans="1:10" ht="16.5" x14ac:dyDescent="0.45">
      <c r="A44" s="22" t="s">
        <v>33</v>
      </c>
      <c r="B44" s="11">
        <v>112</v>
      </c>
      <c r="C44" s="24">
        <v>64</v>
      </c>
      <c r="D44" s="10">
        <f t="shared" si="0"/>
        <v>57.142857142857139</v>
      </c>
      <c r="E44" s="11">
        <v>112</v>
      </c>
      <c r="F44" s="24">
        <v>40</v>
      </c>
      <c r="G44" s="12">
        <f t="shared" si="1"/>
        <v>35.714285714285715</v>
      </c>
      <c r="H44" s="9">
        <v>133</v>
      </c>
      <c r="I44" s="24">
        <v>69</v>
      </c>
      <c r="J44" s="10">
        <f t="shared" si="2"/>
        <v>51.879699248120303</v>
      </c>
    </row>
    <row r="45" spans="1:10" ht="29" x14ac:dyDescent="0.45">
      <c r="A45" s="22" t="s">
        <v>13</v>
      </c>
      <c r="B45" s="11">
        <v>403</v>
      </c>
      <c r="C45" s="24">
        <v>274</v>
      </c>
      <c r="D45" s="10">
        <f t="shared" si="0"/>
        <v>67.990074441687341</v>
      </c>
      <c r="E45" s="11">
        <v>403</v>
      </c>
      <c r="F45" s="24">
        <v>202</v>
      </c>
      <c r="G45" s="12">
        <f t="shared" si="1"/>
        <v>50.124069478908183</v>
      </c>
      <c r="H45" s="9">
        <v>254</v>
      </c>
      <c r="I45" s="24">
        <v>616</v>
      </c>
      <c r="J45" s="10">
        <f t="shared" si="2"/>
        <v>242.5196850393701</v>
      </c>
    </row>
  </sheetData>
  <mergeCells count="7">
    <mergeCell ref="A1:J2"/>
    <mergeCell ref="A3:J3"/>
    <mergeCell ref="A4:J4"/>
    <mergeCell ref="A5:A6"/>
    <mergeCell ref="B5:D5"/>
    <mergeCell ref="E5:G5"/>
    <mergeCell ref="H5:J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60B7-7287-42E3-8924-A7024DE989BE}">
  <dimension ref="A1:J45"/>
  <sheetViews>
    <sheetView tabSelected="1" workbookViewId="0">
      <selection activeCell="C39" sqref="C39"/>
    </sheetView>
  </sheetViews>
  <sheetFormatPr baseColWidth="10" defaultRowHeight="14.5" x14ac:dyDescent="0.35"/>
  <sheetData>
    <row r="1" spans="1:10" x14ac:dyDescent="0.35">
      <c r="A1" s="37" t="s">
        <v>58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8.5" x14ac:dyDescent="0.3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3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44" t="s">
        <v>2</v>
      </c>
      <c r="B5" s="46" t="s">
        <v>55</v>
      </c>
      <c r="C5" s="47"/>
      <c r="D5" s="48"/>
      <c r="E5" s="46" t="s">
        <v>56</v>
      </c>
      <c r="F5" s="47"/>
      <c r="G5" s="48"/>
      <c r="H5" s="46" t="s">
        <v>57</v>
      </c>
      <c r="I5" s="47"/>
      <c r="J5" s="48"/>
    </row>
    <row r="6" spans="1:10" ht="43.5" x14ac:dyDescent="0.35">
      <c r="A6" s="45"/>
      <c r="B6" s="5" t="s">
        <v>42</v>
      </c>
      <c r="C6" s="23" t="s">
        <v>45</v>
      </c>
      <c r="D6" s="33" t="s">
        <v>44</v>
      </c>
      <c r="E6" s="5" t="s">
        <v>42</v>
      </c>
      <c r="F6" s="23" t="s">
        <v>46</v>
      </c>
      <c r="G6" s="33" t="s">
        <v>44</v>
      </c>
      <c r="H6" s="5" t="s">
        <v>42</v>
      </c>
      <c r="I6" s="23" t="s">
        <v>43</v>
      </c>
      <c r="J6" s="5" t="s">
        <v>44</v>
      </c>
    </row>
    <row r="7" spans="1:10" ht="16.5" x14ac:dyDescent="0.45">
      <c r="A7" s="22" t="s">
        <v>26</v>
      </c>
      <c r="B7" s="11">
        <v>499</v>
      </c>
      <c r="C7" s="24">
        <v>264</v>
      </c>
      <c r="D7" s="10">
        <f t="shared" ref="D7:D45" si="0">SUM(C7/B7*100)</f>
        <v>52.905811623246493</v>
      </c>
      <c r="E7" s="11">
        <v>499</v>
      </c>
      <c r="F7" s="24">
        <v>168</v>
      </c>
      <c r="G7" s="12">
        <f t="shared" ref="G7:G45" si="1">SUM(F7/E7*100)</f>
        <v>33.667334669338679</v>
      </c>
      <c r="H7" s="9">
        <v>560</v>
      </c>
      <c r="I7" s="24">
        <v>247</v>
      </c>
      <c r="J7" s="10">
        <f t="shared" ref="J7:J45" si="2">SUM(I7/H7*100)</f>
        <v>44.107142857142854</v>
      </c>
    </row>
    <row r="8" spans="1:10" ht="16.5" x14ac:dyDescent="0.45">
      <c r="A8" s="22" t="s">
        <v>27</v>
      </c>
      <c r="B8" s="11">
        <v>54</v>
      </c>
      <c r="C8" s="24">
        <v>40</v>
      </c>
      <c r="D8" s="10">
        <f t="shared" si="0"/>
        <v>74.074074074074076</v>
      </c>
      <c r="E8" s="11">
        <v>54</v>
      </c>
      <c r="F8" s="24">
        <v>40</v>
      </c>
      <c r="G8" s="12">
        <f t="shared" si="1"/>
        <v>74.074074074074076</v>
      </c>
      <c r="H8" s="9">
        <v>51</v>
      </c>
      <c r="I8" s="24">
        <v>46</v>
      </c>
      <c r="J8" s="10">
        <f t="shared" si="2"/>
        <v>90.196078431372555</v>
      </c>
    </row>
    <row r="9" spans="1:10" ht="29" x14ac:dyDescent="0.45">
      <c r="A9" s="22" t="s">
        <v>34</v>
      </c>
      <c r="B9" s="11">
        <v>61</v>
      </c>
      <c r="C9" s="24">
        <v>30</v>
      </c>
      <c r="D9" s="10">
        <f t="shared" si="0"/>
        <v>49.180327868852459</v>
      </c>
      <c r="E9" s="11">
        <v>61</v>
      </c>
      <c r="F9" s="24">
        <v>25</v>
      </c>
      <c r="G9" s="12">
        <f t="shared" si="1"/>
        <v>40.983606557377051</v>
      </c>
      <c r="H9" s="11">
        <v>105</v>
      </c>
      <c r="I9" s="24">
        <v>36</v>
      </c>
      <c r="J9" s="10">
        <f t="shared" si="2"/>
        <v>34.285714285714285</v>
      </c>
    </row>
    <row r="10" spans="1:10" ht="16.5" x14ac:dyDescent="0.45">
      <c r="A10" s="22" t="s">
        <v>14</v>
      </c>
      <c r="B10" s="11">
        <v>643</v>
      </c>
      <c r="C10" s="24">
        <v>314</v>
      </c>
      <c r="D10" s="10">
        <f t="shared" si="0"/>
        <v>48.833592534992228</v>
      </c>
      <c r="E10" s="11">
        <v>643</v>
      </c>
      <c r="F10" s="24">
        <v>198</v>
      </c>
      <c r="G10" s="12">
        <f t="shared" si="1"/>
        <v>30.793157076205286</v>
      </c>
      <c r="H10" s="9">
        <v>843</v>
      </c>
      <c r="I10" s="24">
        <v>302</v>
      </c>
      <c r="J10" s="10">
        <f t="shared" si="2"/>
        <v>35.824436536180308</v>
      </c>
    </row>
    <row r="11" spans="1:10" ht="16.5" x14ac:dyDescent="0.45">
      <c r="A11" s="22" t="s">
        <v>3</v>
      </c>
      <c r="B11" s="11">
        <v>8431</v>
      </c>
      <c r="C11" s="25">
        <v>6827</v>
      </c>
      <c r="D11" s="10">
        <f t="shared" si="0"/>
        <v>80.974973312774296</v>
      </c>
      <c r="E11" s="11">
        <v>8431</v>
      </c>
      <c r="F11" s="27">
        <v>6859</v>
      </c>
      <c r="G11" s="12">
        <f t="shared" si="1"/>
        <v>81.354524967382275</v>
      </c>
      <c r="H11" s="8">
        <v>10719</v>
      </c>
      <c r="I11" s="27">
        <v>9067</v>
      </c>
      <c r="J11" s="10">
        <f t="shared" si="2"/>
        <v>84.588114562925639</v>
      </c>
    </row>
    <row r="12" spans="1:10" ht="16.5" x14ac:dyDescent="0.45">
      <c r="A12" s="22" t="s">
        <v>35</v>
      </c>
      <c r="B12" s="11">
        <v>117</v>
      </c>
      <c r="C12" s="24">
        <v>67</v>
      </c>
      <c r="D12" s="10">
        <f t="shared" si="0"/>
        <v>57.26495726495726</v>
      </c>
      <c r="E12" s="11">
        <v>117</v>
      </c>
      <c r="F12" s="24">
        <v>46</v>
      </c>
      <c r="G12" s="12">
        <f t="shared" si="1"/>
        <v>39.316239316239319</v>
      </c>
      <c r="H12" s="9">
        <v>64</v>
      </c>
      <c r="I12" s="24">
        <v>72</v>
      </c>
      <c r="J12" s="10">
        <f t="shared" si="2"/>
        <v>112.5</v>
      </c>
    </row>
    <row r="13" spans="1:10" ht="43.5" x14ac:dyDescent="0.45">
      <c r="A13" s="22" t="s">
        <v>15</v>
      </c>
      <c r="B13" s="11">
        <v>236</v>
      </c>
      <c r="C13" s="24">
        <v>113</v>
      </c>
      <c r="D13" s="10">
        <f t="shared" si="0"/>
        <v>47.881355932203391</v>
      </c>
      <c r="E13" s="11">
        <v>236</v>
      </c>
      <c r="F13" s="24">
        <v>123</v>
      </c>
      <c r="G13" s="12">
        <f t="shared" si="1"/>
        <v>52.118644067796616</v>
      </c>
      <c r="H13" s="9">
        <v>231</v>
      </c>
      <c r="I13" s="24">
        <v>159</v>
      </c>
      <c r="J13" s="10">
        <f t="shared" si="2"/>
        <v>68.831168831168839</v>
      </c>
    </row>
    <row r="14" spans="1:10" ht="29" x14ac:dyDescent="0.45">
      <c r="A14" s="22" t="s">
        <v>16</v>
      </c>
      <c r="B14" s="11">
        <v>5736</v>
      </c>
      <c r="C14" s="24">
        <v>4080</v>
      </c>
      <c r="D14" s="10">
        <f t="shared" si="0"/>
        <v>71.129707112970706</v>
      </c>
      <c r="E14" s="11">
        <v>5736</v>
      </c>
      <c r="F14" s="24">
        <v>2518</v>
      </c>
      <c r="G14" s="12">
        <f t="shared" si="1"/>
        <v>43.898186889818689</v>
      </c>
      <c r="H14" s="9">
        <v>6878</v>
      </c>
      <c r="I14" s="24">
        <v>2302</v>
      </c>
      <c r="J14" s="10">
        <f t="shared" si="2"/>
        <v>33.469031695260249</v>
      </c>
    </row>
    <row r="15" spans="1:10" ht="29" x14ac:dyDescent="0.45">
      <c r="A15" s="22" t="s">
        <v>4</v>
      </c>
      <c r="B15" s="11">
        <v>576</v>
      </c>
      <c r="C15" s="29">
        <v>312</v>
      </c>
      <c r="D15" s="10">
        <f t="shared" si="0"/>
        <v>54.166666666666664</v>
      </c>
      <c r="E15" s="11">
        <v>576</v>
      </c>
      <c r="F15" s="24">
        <v>274</v>
      </c>
      <c r="G15" s="12">
        <f t="shared" si="1"/>
        <v>47.569444444444443</v>
      </c>
      <c r="H15" s="9">
        <v>657</v>
      </c>
      <c r="I15" s="24">
        <v>365</v>
      </c>
      <c r="J15" s="10">
        <f t="shared" si="2"/>
        <v>55.555555555555557</v>
      </c>
    </row>
    <row r="16" spans="1:10" ht="16.5" x14ac:dyDescent="0.45">
      <c r="A16" s="22" t="s">
        <v>28</v>
      </c>
      <c r="B16" s="11">
        <v>137</v>
      </c>
      <c r="C16" s="24">
        <v>41</v>
      </c>
      <c r="D16" s="10">
        <f t="shared" si="0"/>
        <v>29.927007299270077</v>
      </c>
      <c r="E16" s="11">
        <v>137</v>
      </c>
      <c r="F16" s="24">
        <v>43</v>
      </c>
      <c r="G16" s="12">
        <f t="shared" si="1"/>
        <v>31.386861313868614</v>
      </c>
      <c r="H16" s="9">
        <v>184</v>
      </c>
      <c r="I16" s="24">
        <v>55</v>
      </c>
      <c r="J16" s="10">
        <f t="shared" si="2"/>
        <v>29.891304347826086</v>
      </c>
    </row>
    <row r="17" spans="1:10" ht="16.5" x14ac:dyDescent="0.45">
      <c r="A17" s="22" t="s">
        <v>36</v>
      </c>
      <c r="B17" s="11">
        <v>62</v>
      </c>
      <c r="C17" s="24">
        <v>15</v>
      </c>
      <c r="D17" s="10">
        <f t="shared" si="0"/>
        <v>24.193548387096776</v>
      </c>
      <c r="E17" s="11">
        <v>62</v>
      </c>
      <c r="F17" s="24">
        <v>26</v>
      </c>
      <c r="G17" s="12">
        <f t="shared" si="1"/>
        <v>41.935483870967744</v>
      </c>
      <c r="H17" s="9">
        <v>69</v>
      </c>
      <c r="I17" s="24">
        <v>39</v>
      </c>
      <c r="J17" s="10">
        <f t="shared" si="2"/>
        <v>56.521739130434781</v>
      </c>
    </row>
    <row r="18" spans="1:10" ht="16.5" x14ac:dyDescent="0.45">
      <c r="A18" s="22" t="s">
        <v>37</v>
      </c>
      <c r="B18" s="11">
        <v>62</v>
      </c>
      <c r="C18" s="24">
        <v>36</v>
      </c>
      <c r="D18" s="10">
        <f t="shared" si="0"/>
        <v>58.064516129032263</v>
      </c>
      <c r="E18" s="11">
        <v>62</v>
      </c>
      <c r="F18" s="24">
        <v>23</v>
      </c>
      <c r="G18" s="12">
        <f t="shared" si="1"/>
        <v>37.096774193548384</v>
      </c>
      <c r="H18" s="9">
        <v>75</v>
      </c>
      <c r="I18" s="24">
        <v>25</v>
      </c>
      <c r="J18" s="10">
        <f t="shared" si="2"/>
        <v>33.333333333333329</v>
      </c>
    </row>
    <row r="19" spans="1:10" ht="16.5" x14ac:dyDescent="0.45">
      <c r="A19" s="22" t="s">
        <v>17</v>
      </c>
      <c r="B19" s="11">
        <v>2230</v>
      </c>
      <c r="C19" s="24">
        <v>1752</v>
      </c>
      <c r="D19" s="10">
        <f t="shared" si="0"/>
        <v>78.56502242152466</v>
      </c>
      <c r="E19" s="11">
        <v>2230</v>
      </c>
      <c r="F19" s="24">
        <v>1539</v>
      </c>
      <c r="G19" s="12">
        <f t="shared" si="1"/>
        <v>69.013452914798208</v>
      </c>
      <c r="H19" s="9">
        <v>2609</v>
      </c>
      <c r="I19" s="24">
        <v>1560</v>
      </c>
      <c r="J19" s="10">
        <f t="shared" si="2"/>
        <v>59.793024147182827</v>
      </c>
    </row>
    <row r="20" spans="1:10" ht="16.5" x14ac:dyDescent="0.45">
      <c r="A20" s="22" t="s">
        <v>18</v>
      </c>
      <c r="B20" s="11">
        <v>543</v>
      </c>
      <c r="C20" s="24">
        <v>371</v>
      </c>
      <c r="D20" s="10">
        <f t="shared" si="0"/>
        <v>68.324125230202583</v>
      </c>
      <c r="E20" s="11">
        <v>543</v>
      </c>
      <c r="F20" s="24">
        <v>402</v>
      </c>
      <c r="G20" s="12">
        <f t="shared" si="1"/>
        <v>74.033149171270722</v>
      </c>
      <c r="H20" s="9">
        <v>634</v>
      </c>
      <c r="I20" s="24">
        <v>350</v>
      </c>
      <c r="J20" s="10">
        <f t="shared" si="2"/>
        <v>55.205047318611989</v>
      </c>
    </row>
    <row r="21" spans="1:10" ht="16.5" x14ac:dyDescent="0.45">
      <c r="A21" s="22" t="s">
        <v>5</v>
      </c>
      <c r="B21" s="11">
        <v>1425</v>
      </c>
      <c r="C21" s="24">
        <v>773</v>
      </c>
      <c r="D21" s="10">
        <f t="shared" si="0"/>
        <v>54.245614035087719</v>
      </c>
      <c r="E21" s="11">
        <v>1425</v>
      </c>
      <c r="F21" s="24">
        <v>563</v>
      </c>
      <c r="G21" s="12">
        <f t="shared" si="1"/>
        <v>39.508771929824562</v>
      </c>
      <c r="H21" s="11">
        <v>1082</v>
      </c>
      <c r="I21" s="24">
        <v>882</v>
      </c>
      <c r="J21" s="10">
        <f t="shared" si="2"/>
        <v>81.515711645101661</v>
      </c>
    </row>
    <row r="22" spans="1:10" ht="16.5" x14ac:dyDescent="0.45">
      <c r="A22" s="17" t="s">
        <v>19</v>
      </c>
      <c r="B22" s="11">
        <v>284</v>
      </c>
      <c r="C22" s="11">
        <v>139</v>
      </c>
      <c r="D22" s="10">
        <f t="shared" si="0"/>
        <v>48.943661971830984</v>
      </c>
      <c r="E22" s="11">
        <v>284</v>
      </c>
      <c r="F22" s="11">
        <v>123</v>
      </c>
      <c r="G22" s="12">
        <f t="shared" si="1"/>
        <v>43.309859154929576</v>
      </c>
      <c r="H22" s="11">
        <v>376</v>
      </c>
      <c r="I22" s="11">
        <v>126</v>
      </c>
      <c r="J22" s="10">
        <f t="shared" si="2"/>
        <v>33.51063829787234</v>
      </c>
    </row>
    <row r="23" spans="1:10" ht="29" x14ac:dyDescent="0.45">
      <c r="A23" s="22" t="s">
        <v>6</v>
      </c>
      <c r="B23" s="11">
        <v>488</v>
      </c>
      <c r="C23" s="24">
        <v>128</v>
      </c>
      <c r="D23" s="10">
        <f t="shared" si="0"/>
        <v>26.229508196721312</v>
      </c>
      <c r="E23" s="11">
        <v>488</v>
      </c>
      <c r="F23" s="24">
        <v>133</v>
      </c>
      <c r="G23" s="12">
        <f t="shared" si="1"/>
        <v>27.254098360655739</v>
      </c>
      <c r="H23" s="9">
        <v>514</v>
      </c>
      <c r="I23" s="24">
        <v>209</v>
      </c>
      <c r="J23" s="10">
        <f t="shared" si="2"/>
        <v>40.661478599221788</v>
      </c>
    </row>
    <row r="24" spans="1:10" ht="16.5" x14ac:dyDescent="0.45">
      <c r="A24" s="22" t="s">
        <v>29</v>
      </c>
      <c r="B24" s="11">
        <v>443</v>
      </c>
      <c r="C24" s="24">
        <v>386</v>
      </c>
      <c r="D24" s="10">
        <f t="shared" si="0"/>
        <v>87.133182844243791</v>
      </c>
      <c r="E24" s="11">
        <v>443</v>
      </c>
      <c r="F24" s="24">
        <v>395</v>
      </c>
      <c r="G24" s="12">
        <f t="shared" si="1"/>
        <v>89.164785553047395</v>
      </c>
      <c r="H24" s="9">
        <v>425</v>
      </c>
      <c r="I24" s="24">
        <v>313</v>
      </c>
      <c r="J24" s="10">
        <f t="shared" si="2"/>
        <v>73.647058823529406</v>
      </c>
    </row>
    <row r="25" spans="1:10" ht="16.5" x14ac:dyDescent="0.45">
      <c r="A25" s="22" t="s">
        <v>38</v>
      </c>
      <c r="B25" s="11">
        <v>130</v>
      </c>
      <c r="C25" s="24">
        <v>40</v>
      </c>
      <c r="D25" s="10">
        <f t="shared" si="0"/>
        <v>30.76923076923077</v>
      </c>
      <c r="E25" s="11">
        <v>130</v>
      </c>
      <c r="F25" s="24">
        <v>29</v>
      </c>
      <c r="G25" s="12">
        <f t="shared" si="1"/>
        <v>22.30769230769231</v>
      </c>
      <c r="H25" s="9">
        <v>123</v>
      </c>
      <c r="I25" s="24">
        <v>62</v>
      </c>
      <c r="J25" s="10">
        <f t="shared" si="2"/>
        <v>50.40650406504065</v>
      </c>
    </row>
    <row r="26" spans="1:10" ht="16.5" x14ac:dyDescent="0.45">
      <c r="A26" s="22" t="s">
        <v>30</v>
      </c>
      <c r="B26" s="11">
        <v>99</v>
      </c>
      <c r="C26" s="24">
        <v>69</v>
      </c>
      <c r="D26" s="10">
        <f t="shared" si="0"/>
        <v>69.696969696969703</v>
      </c>
      <c r="E26" s="11">
        <v>99</v>
      </c>
      <c r="F26" s="24">
        <v>35</v>
      </c>
      <c r="G26" s="12">
        <f t="shared" si="1"/>
        <v>35.353535353535356</v>
      </c>
      <c r="H26" s="9">
        <v>95</v>
      </c>
      <c r="I26" s="24">
        <v>43</v>
      </c>
      <c r="J26" s="10">
        <f t="shared" si="2"/>
        <v>45.263157894736842</v>
      </c>
    </row>
    <row r="27" spans="1:10" ht="29" x14ac:dyDescent="0.45">
      <c r="A27" s="22" t="s">
        <v>7</v>
      </c>
      <c r="B27" s="11">
        <v>224</v>
      </c>
      <c r="C27" s="24">
        <v>76</v>
      </c>
      <c r="D27" s="10">
        <f t="shared" si="0"/>
        <v>33.928571428571431</v>
      </c>
      <c r="E27" s="11">
        <v>224</v>
      </c>
      <c r="F27" s="24">
        <v>115</v>
      </c>
      <c r="G27" s="12">
        <f t="shared" si="1"/>
        <v>51.339285714285708</v>
      </c>
      <c r="H27" s="9">
        <v>243</v>
      </c>
      <c r="I27" s="24">
        <v>205</v>
      </c>
      <c r="J27" s="10">
        <f t="shared" si="2"/>
        <v>84.362139917695472</v>
      </c>
    </row>
    <row r="28" spans="1:10" ht="29" x14ac:dyDescent="0.45">
      <c r="A28" s="22" t="s">
        <v>20</v>
      </c>
      <c r="B28" s="11">
        <v>220</v>
      </c>
      <c r="C28" s="24">
        <v>88</v>
      </c>
      <c r="D28" s="10">
        <f t="shared" si="0"/>
        <v>40</v>
      </c>
      <c r="E28" s="11">
        <v>220</v>
      </c>
      <c r="F28" s="24">
        <v>104</v>
      </c>
      <c r="G28" s="12">
        <f t="shared" si="1"/>
        <v>47.272727272727273</v>
      </c>
      <c r="H28" s="9">
        <v>212</v>
      </c>
      <c r="I28" s="24">
        <v>256</v>
      </c>
      <c r="J28" s="10">
        <f t="shared" si="2"/>
        <v>120.75471698113208</v>
      </c>
    </row>
    <row r="29" spans="1:10" ht="16.5" x14ac:dyDescent="0.45">
      <c r="A29" s="22" t="s">
        <v>8</v>
      </c>
      <c r="B29" s="11">
        <v>135</v>
      </c>
      <c r="C29" s="24">
        <v>87</v>
      </c>
      <c r="D29" s="10">
        <f t="shared" si="0"/>
        <v>64.444444444444443</v>
      </c>
      <c r="E29" s="11">
        <v>135</v>
      </c>
      <c r="F29" s="24">
        <v>70</v>
      </c>
      <c r="G29" s="12">
        <f t="shared" si="1"/>
        <v>51.851851851851848</v>
      </c>
      <c r="H29" s="9">
        <v>190</v>
      </c>
      <c r="I29" s="24">
        <v>135</v>
      </c>
      <c r="J29" s="10">
        <f t="shared" si="2"/>
        <v>71.05263157894737</v>
      </c>
    </row>
    <row r="30" spans="1:10" ht="29" x14ac:dyDescent="0.45">
      <c r="A30" s="22" t="s">
        <v>9</v>
      </c>
      <c r="B30" s="11">
        <v>1283</v>
      </c>
      <c r="C30" s="24">
        <v>529</v>
      </c>
      <c r="D30" s="10">
        <f t="shared" si="0"/>
        <v>41.231488698363208</v>
      </c>
      <c r="E30" s="11">
        <v>1283</v>
      </c>
      <c r="F30" s="24">
        <v>399</v>
      </c>
      <c r="G30" s="12">
        <f t="shared" si="1"/>
        <v>31.098986749805146</v>
      </c>
      <c r="H30" s="9">
        <v>1399</v>
      </c>
      <c r="I30" s="24">
        <v>590</v>
      </c>
      <c r="J30" s="10">
        <f t="shared" si="2"/>
        <v>42.172980700500354</v>
      </c>
    </row>
    <row r="31" spans="1:10" ht="16.5" x14ac:dyDescent="0.45">
      <c r="A31" s="22" t="s">
        <v>39</v>
      </c>
      <c r="B31" s="11">
        <v>259</v>
      </c>
      <c r="C31" s="24">
        <v>106</v>
      </c>
      <c r="D31" s="10">
        <f t="shared" si="0"/>
        <v>40.926640926640928</v>
      </c>
      <c r="E31" s="11">
        <v>259</v>
      </c>
      <c r="F31" s="24">
        <v>111</v>
      </c>
      <c r="G31" s="12">
        <f t="shared" si="1"/>
        <v>42.857142857142854</v>
      </c>
      <c r="H31" s="9">
        <v>208</v>
      </c>
      <c r="I31" s="24">
        <v>86</v>
      </c>
      <c r="J31" s="10">
        <f t="shared" si="2"/>
        <v>41.346153846153847</v>
      </c>
    </row>
    <row r="32" spans="1:10" ht="29" x14ac:dyDescent="0.45">
      <c r="A32" s="22" t="s">
        <v>40</v>
      </c>
      <c r="B32" s="11">
        <v>36</v>
      </c>
      <c r="C32" s="24">
        <v>5</v>
      </c>
      <c r="D32" s="10">
        <f t="shared" si="0"/>
        <v>13.888888888888889</v>
      </c>
      <c r="E32" s="11">
        <v>36</v>
      </c>
      <c r="F32" s="24">
        <v>4</v>
      </c>
      <c r="G32" s="12">
        <f t="shared" si="1"/>
        <v>11.111111111111111</v>
      </c>
      <c r="H32" s="9">
        <v>36</v>
      </c>
      <c r="I32" s="24">
        <v>13</v>
      </c>
      <c r="J32" s="10">
        <f t="shared" si="2"/>
        <v>36.111111111111107</v>
      </c>
    </row>
    <row r="33" spans="1:10" ht="16.5" x14ac:dyDescent="0.45">
      <c r="A33" s="22" t="s">
        <v>10</v>
      </c>
      <c r="B33" s="11">
        <v>581</v>
      </c>
      <c r="C33" s="24">
        <v>172</v>
      </c>
      <c r="D33" s="10">
        <f t="shared" si="0"/>
        <v>29.604130808950085</v>
      </c>
      <c r="E33" s="11">
        <v>581</v>
      </c>
      <c r="F33" s="24">
        <v>199</v>
      </c>
      <c r="G33" s="12">
        <f t="shared" si="1"/>
        <v>34.251290877796905</v>
      </c>
      <c r="H33" s="9">
        <v>608</v>
      </c>
      <c r="I33" s="24">
        <v>185</v>
      </c>
      <c r="J33" s="10">
        <f t="shared" si="2"/>
        <v>30.427631578947366</v>
      </c>
    </row>
    <row r="34" spans="1:10" ht="29" x14ac:dyDescent="0.45">
      <c r="A34" s="22" t="s">
        <v>41</v>
      </c>
      <c r="B34" s="11">
        <v>129</v>
      </c>
      <c r="C34" s="24">
        <v>64</v>
      </c>
      <c r="D34" s="10">
        <f t="shared" si="0"/>
        <v>49.612403100775197</v>
      </c>
      <c r="E34" s="11">
        <v>129</v>
      </c>
      <c r="F34" s="24">
        <v>89</v>
      </c>
      <c r="G34" s="12">
        <f t="shared" si="1"/>
        <v>68.992248062015506</v>
      </c>
      <c r="H34" s="9">
        <v>153</v>
      </c>
      <c r="I34" s="24">
        <v>95</v>
      </c>
      <c r="J34" s="10">
        <f t="shared" si="2"/>
        <v>62.091503267973856</v>
      </c>
    </row>
    <row r="35" spans="1:10" ht="29" x14ac:dyDescent="0.45">
      <c r="A35" s="22" t="s">
        <v>21</v>
      </c>
      <c r="B35" s="11">
        <v>228</v>
      </c>
      <c r="C35" s="24">
        <v>63</v>
      </c>
      <c r="D35" s="10">
        <f t="shared" si="0"/>
        <v>27.631578947368425</v>
      </c>
      <c r="E35" s="11">
        <v>228</v>
      </c>
      <c r="F35" s="24">
        <v>54</v>
      </c>
      <c r="G35" s="12">
        <f t="shared" si="1"/>
        <v>23.684210526315788</v>
      </c>
      <c r="H35" s="9">
        <v>219</v>
      </c>
      <c r="I35" s="24">
        <v>67</v>
      </c>
      <c r="J35" s="10">
        <f t="shared" si="2"/>
        <v>30.593607305936072</v>
      </c>
    </row>
    <row r="36" spans="1:10" ht="29" x14ac:dyDescent="0.45">
      <c r="A36" s="22" t="s">
        <v>22</v>
      </c>
      <c r="B36" s="11">
        <v>33</v>
      </c>
      <c r="C36" s="24">
        <v>44</v>
      </c>
      <c r="D36" s="10">
        <f t="shared" si="0"/>
        <v>133.33333333333331</v>
      </c>
      <c r="E36" s="11">
        <v>33</v>
      </c>
      <c r="F36" s="24">
        <v>25</v>
      </c>
      <c r="G36" s="12">
        <f t="shared" si="1"/>
        <v>75.757575757575751</v>
      </c>
      <c r="H36" s="9">
        <v>38</v>
      </c>
      <c r="I36" s="24">
        <v>11</v>
      </c>
      <c r="J36" s="10">
        <f t="shared" si="2"/>
        <v>28.947368421052634</v>
      </c>
    </row>
    <row r="37" spans="1:10" ht="29" x14ac:dyDescent="0.45">
      <c r="A37" s="22" t="s">
        <v>23</v>
      </c>
      <c r="B37" s="11">
        <v>38</v>
      </c>
      <c r="C37" s="24">
        <v>16</v>
      </c>
      <c r="D37" s="10">
        <f t="shared" si="0"/>
        <v>42.105263157894733</v>
      </c>
      <c r="E37" s="11">
        <v>38</v>
      </c>
      <c r="F37" s="24">
        <v>6</v>
      </c>
      <c r="G37" s="12">
        <f t="shared" si="1"/>
        <v>15.789473684210526</v>
      </c>
      <c r="H37" s="9">
        <v>41</v>
      </c>
      <c r="I37" s="24">
        <v>16</v>
      </c>
      <c r="J37" s="10">
        <f t="shared" si="2"/>
        <v>39.024390243902438</v>
      </c>
    </row>
    <row r="38" spans="1:10" ht="16.5" x14ac:dyDescent="0.45">
      <c r="A38" s="22" t="s">
        <v>24</v>
      </c>
      <c r="B38" s="11">
        <v>130</v>
      </c>
      <c r="C38" s="24">
        <v>34</v>
      </c>
      <c r="D38" s="10">
        <f t="shared" si="0"/>
        <v>26.153846153846157</v>
      </c>
      <c r="E38" s="11">
        <v>130</v>
      </c>
      <c r="F38" s="24">
        <v>45</v>
      </c>
      <c r="G38" s="12">
        <f t="shared" si="1"/>
        <v>34.615384615384613</v>
      </c>
      <c r="H38" s="9">
        <v>140</v>
      </c>
      <c r="I38" s="24">
        <v>66</v>
      </c>
      <c r="J38" s="10">
        <f t="shared" si="2"/>
        <v>47.142857142857139</v>
      </c>
    </row>
    <row r="39" spans="1:10" ht="43.5" x14ac:dyDescent="0.45">
      <c r="A39" s="22" t="s">
        <v>31</v>
      </c>
      <c r="B39" s="11">
        <v>1467</v>
      </c>
      <c r="C39" s="24">
        <v>445</v>
      </c>
      <c r="D39" s="10">
        <f t="shared" si="0"/>
        <v>30.334014996591684</v>
      </c>
      <c r="E39" s="11">
        <v>1467</v>
      </c>
      <c r="F39" s="24">
        <v>53</v>
      </c>
      <c r="G39" s="12">
        <f t="shared" si="1"/>
        <v>3.6128152692569873</v>
      </c>
      <c r="H39" s="9">
        <v>1144</v>
      </c>
      <c r="I39" s="24">
        <v>338</v>
      </c>
      <c r="J39" s="10">
        <f t="shared" si="2"/>
        <v>29.545454545454547</v>
      </c>
    </row>
    <row r="40" spans="1:10" ht="16.5" x14ac:dyDescent="0.45">
      <c r="A40" s="22" t="s">
        <v>11</v>
      </c>
      <c r="B40" s="11">
        <v>166</v>
      </c>
      <c r="C40" s="24">
        <v>48</v>
      </c>
      <c r="D40" s="10">
        <f t="shared" si="0"/>
        <v>28.915662650602407</v>
      </c>
      <c r="E40" s="11">
        <v>166</v>
      </c>
      <c r="F40" s="24">
        <v>62</v>
      </c>
      <c r="G40" s="12">
        <f t="shared" si="1"/>
        <v>37.349397590361441</v>
      </c>
      <c r="H40" s="9">
        <v>177</v>
      </c>
      <c r="I40" s="24">
        <v>76</v>
      </c>
      <c r="J40" s="10">
        <f t="shared" si="2"/>
        <v>42.93785310734463</v>
      </c>
    </row>
    <row r="41" spans="1:10" ht="16.5" x14ac:dyDescent="0.45">
      <c r="A41" s="22" t="s">
        <v>12</v>
      </c>
      <c r="B41" s="11">
        <v>952</v>
      </c>
      <c r="C41" s="24">
        <v>163</v>
      </c>
      <c r="D41" s="10">
        <f t="shared" si="0"/>
        <v>17.1218487394958</v>
      </c>
      <c r="E41" s="11">
        <v>952</v>
      </c>
      <c r="F41" s="24">
        <v>144</v>
      </c>
      <c r="G41" s="12">
        <f t="shared" si="1"/>
        <v>15.126050420168067</v>
      </c>
      <c r="H41" s="9">
        <v>851</v>
      </c>
      <c r="I41" s="24">
        <v>175</v>
      </c>
      <c r="J41" s="10">
        <f t="shared" si="2"/>
        <v>20.564042303172737</v>
      </c>
    </row>
    <row r="42" spans="1:10" ht="29" x14ac:dyDescent="0.45">
      <c r="A42" s="22" t="s">
        <v>32</v>
      </c>
      <c r="B42" s="11">
        <v>30</v>
      </c>
      <c r="C42" s="24">
        <v>72</v>
      </c>
      <c r="D42" s="10">
        <f t="shared" si="0"/>
        <v>240</v>
      </c>
      <c r="E42" s="11">
        <v>30</v>
      </c>
      <c r="F42" s="24">
        <v>51</v>
      </c>
      <c r="G42" s="12">
        <f t="shared" si="1"/>
        <v>170</v>
      </c>
      <c r="H42" s="9">
        <v>50</v>
      </c>
      <c r="I42" s="24">
        <v>64</v>
      </c>
      <c r="J42" s="10">
        <f t="shared" si="2"/>
        <v>128</v>
      </c>
    </row>
    <row r="43" spans="1:10" ht="16.5" x14ac:dyDescent="0.45">
      <c r="A43" s="22" t="s">
        <v>25</v>
      </c>
      <c r="B43" s="11">
        <v>278</v>
      </c>
      <c r="C43" s="24">
        <v>232</v>
      </c>
      <c r="D43" s="10">
        <f t="shared" si="0"/>
        <v>83.453237410071949</v>
      </c>
      <c r="E43" s="11">
        <v>278</v>
      </c>
      <c r="F43" s="24">
        <v>227</v>
      </c>
      <c r="G43" s="12">
        <f t="shared" si="1"/>
        <v>81.654676258992808</v>
      </c>
      <c r="H43" s="9">
        <v>348</v>
      </c>
      <c r="I43" s="24">
        <v>267</v>
      </c>
      <c r="J43" s="10">
        <f t="shared" si="2"/>
        <v>76.724137931034491</v>
      </c>
    </row>
    <row r="44" spans="1:10" ht="16.5" x14ac:dyDescent="0.45">
      <c r="A44" s="22" t="s">
        <v>33</v>
      </c>
      <c r="B44" s="11">
        <v>112</v>
      </c>
      <c r="C44" s="24">
        <v>66</v>
      </c>
      <c r="D44" s="10">
        <f t="shared" si="0"/>
        <v>58.928571428571431</v>
      </c>
      <c r="E44" s="11">
        <v>112</v>
      </c>
      <c r="F44" s="24">
        <v>40</v>
      </c>
      <c r="G44" s="12">
        <f t="shared" si="1"/>
        <v>35.714285714285715</v>
      </c>
      <c r="H44" s="9">
        <v>133</v>
      </c>
      <c r="I44" s="24">
        <v>70</v>
      </c>
      <c r="J44" s="10">
        <f t="shared" si="2"/>
        <v>52.631578947368418</v>
      </c>
    </row>
    <row r="45" spans="1:10" ht="29" x14ac:dyDescent="0.45">
      <c r="A45" s="22" t="s">
        <v>13</v>
      </c>
      <c r="B45" s="11">
        <v>403</v>
      </c>
      <c r="C45" s="24">
        <v>280</v>
      </c>
      <c r="D45" s="10">
        <f t="shared" si="0"/>
        <v>69.478908188585606</v>
      </c>
      <c r="E45" s="11">
        <v>403</v>
      </c>
      <c r="F45" s="24">
        <v>204</v>
      </c>
      <c r="G45" s="12">
        <f t="shared" si="1"/>
        <v>50.620347394540943</v>
      </c>
      <c r="H45" s="9">
        <v>254</v>
      </c>
      <c r="I45" s="24">
        <v>617</v>
      </c>
      <c r="J45" s="10">
        <f t="shared" si="2"/>
        <v>242.91338582677167</v>
      </c>
    </row>
  </sheetData>
  <mergeCells count="7">
    <mergeCell ref="A1:J2"/>
    <mergeCell ref="A3:J3"/>
    <mergeCell ref="A4:J4"/>
    <mergeCell ref="A5:A6"/>
    <mergeCell ref="B5:D5"/>
    <mergeCell ref="E5:G5"/>
    <mergeCell ref="H5:J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D607-C8C0-4AFE-AF6E-848DAE346AA1}">
  <dimension ref="A1:J45"/>
  <sheetViews>
    <sheetView workbookViewId="0">
      <selection sqref="A1:J45"/>
    </sheetView>
  </sheetViews>
  <sheetFormatPr baseColWidth="10" defaultRowHeight="14.5" x14ac:dyDescent="0.35"/>
  <sheetData>
    <row r="1" spans="1:10" x14ac:dyDescent="0.35">
      <c r="A1" s="37" t="s">
        <v>58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8.5" x14ac:dyDescent="0.3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3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44" t="s">
        <v>2</v>
      </c>
      <c r="B5" s="46" t="s">
        <v>55</v>
      </c>
      <c r="C5" s="47"/>
      <c r="D5" s="48"/>
      <c r="E5" s="46" t="s">
        <v>56</v>
      </c>
      <c r="F5" s="47"/>
      <c r="G5" s="48"/>
      <c r="H5" s="46" t="s">
        <v>57</v>
      </c>
      <c r="I5" s="47"/>
      <c r="J5" s="48"/>
    </row>
    <row r="6" spans="1:10" ht="43.5" x14ac:dyDescent="0.35">
      <c r="A6" s="45"/>
      <c r="B6" s="5" t="s">
        <v>42</v>
      </c>
      <c r="C6" s="23" t="s">
        <v>45</v>
      </c>
      <c r="D6" s="33" t="s">
        <v>44</v>
      </c>
      <c r="E6" s="5" t="s">
        <v>42</v>
      </c>
      <c r="F6" s="23" t="s">
        <v>46</v>
      </c>
      <c r="G6" s="33" t="s">
        <v>44</v>
      </c>
      <c r="H6" s="5" t="s">
        <v>42</v>
      </c>
      <c r="I6" s="23" t="s">
        <v>43</v>
      </c>
      <c r="J6" s="5" t="s">
        <v>44</v>
      </c>
    </row>
    <row r="7" spans="1:10" ht="16.5" x14ac:dyDescent="0.45">
      <c r="A7" s="22" t="s">
        <v>26</v>
      </c>
      <c r="B7" s="11">
        <v>499</v>
      </c>
      <c r="C7" s="24">
        <v>266</v>
      </c>
      <c r="D7" s="10">
        <f t="shared" ref="D7:D45" si="0">SUM(C7/B7*100)</f>
        <v>53.306613226452903</v>
      </c>
      <c r="E7" s="11">
        <v>499</v>
      </c>
      <c r="F7" s="24">
        <v>170</v>
      </c>
      <c r="G7" s="12">
        <f t="shared" ref="G7:G45" si="1">SUM(F7/E7*100)</f>
        <v>34.06813627254509</v>
      </c>
      <c r="H7" s="9">
        <v>560</v>
      </c>
      <c r="I7" s="24">
        <v>247</v>
      </c>
      <c r="J7" s="10">
        <f t="shared" ref="J7:J45" si="2">SUM(I7/H7*100)</f>
        <v>44.107142857142854</v>
      </c>
    </row>
    <row r="8" spans="1:10" ht="16.5" x14ac:dyDescent="0.45">
      <c r="A8" s="22" t="s">
        <v>27</v>
      </c>
      <c r="B8" s="11">
        <v>54</v>
      </c>
      <c r="C8" s="24">
        <v>40</v>
      </c>
      <c r="D8" s="10">
        <f t="shared" si="0"/>
        <v>74.074074074074076</v>
      </c>
      <c r="E8" s="11">
        <v>54</v>
      </c>
      <c r="F8" s="24">
        <v>40</v>
      </c>
      <c r="G8" s="12">
        <f t="shared" si="1"/>
        <v>74.074074074074076</v>
      </c>
      <c r="H8" s="9">
        <v>51</v>
      </c>
      <c r="I8" s="24">
        <v>46</v>
      </c>
      <c r="J8" s="10">
        <f t="shared" si="2"/>
        <v>90.196078431372555</v>
      </c>
    </row>
    <row r="9" spans="1:10" ht="29" x14ac:dyDescent="0.45">
      <c r="A9" s="22" t="s">
        <v>34</v>
      </c>
      <c r="B9" s="11">
        <v>61</v>
      </c>
      <c r="C9" s="24">
        <v>30</v>
      </c>
      <c r="D9" s="10">
        <f t="shared" si="0"/>
        <v>49.180327868852459</v>
      </c>
      <c r="E9" s="11">
        <v>61</v>
      </c>
      <c r="F9" s="24">
        <v>25</v>
      </c>
      <c r="G9" s="12">
        <f t="shared" si="1"/>
        <v>40.983606557377051</v>
      </c>
      <c r="H9" s="11">
        <v>105</v>
      </c>
      <c r="I9" s="24">
        <v>36</v>
      </c>
      <c r="J9" s="10">
        <f t="shared" si="2"/>
        <v>34.285714285714285</v>
      </c>
    </row>
    <row r="10" spans="1:10" ht="16.5" x14ac:dyDescent="0.45">
      <c r="A10" s="22" t="s">
        <v>14</v>
      </c>
      <c r="B10" s="11">
        <v>643</v>
      </c>
      <c r="C10" s="24">
        <v>314</v>
      </c>
      <c r="D10" s="10">
        <f t="shared" si="0"/>
        <v>48.833592534992228</v>
      </c>
      <c r="E10" s="11">
        <v>643</v>
      </c>
      <c r="F10" s="24">
        <v>198</v>
      </c>
      <c r="G10" s="12">
        <f t="shared" si="1"/>
        <v>30.793157076205286</v>
      </c>
      <c r="H10" s="9">
        <v>843</v>
      </c>
      <c r="I10" s="24">
        <v>302</v>
      </c>
      <c r="J10" s="10">
        <f t="shared" si="2"/>
        <v>35.824436536180308</v>
      </c>
    </row>
    <row r="11" spans="1:10" ht="16.5" x14ac:dyDescent="0.45">
      <c r="A11" s="22" t="s">
        <v>3</v>
      </c>
      <c r="B11" s="11">
        <v>8431</v>
      </c>
      <c r="C11" s="25">
        <v>6917</v>
      </c>
      <c r="D11" s="10">
        <f t="shared" si="0"/>
        <v>82.042462341359268</v>
      </c>
      <c r="E11" s="11">
        <v>8431</v>
      </c>
      <c r="F11" s="27">
        <v>6938</v>
      </c>
      <c r="G11" s="12">
        <f t="shared" si="1"/>
        <v>82.29154311469577</v>
      </c>
      <c r="H11" s="8">
        <v>10719</v>
      </c>
      <c r="I11" s="27">
        <v>9155</v>
      </c>
      <c r="J11" s="10">
        <f t="shared" si="2"/>
        <v>85.40908666853251</v>
      </c>
    </row>
    <row r="12" spans="1:10" ht="16.5" x14ac:dyDescent="0.45">
      <c r="A12" s="22" t="s">
        <v>35</v>
      </c>
      <c r="B12" s="11">
        <v>117</v>
      </c>
      <c r="C12" s="24">
        <v>67</v>
      </c>
      <c r="D12" s="10">
        <f t="shared" si="0"/>
        <v>57.26495726495726</v>
      </c>
      <c r="E12" s="11">
        <v>117</v>
      </c>
      <c r="F12" s="24">
        <v>49</v>
      </c>
      <c r="G12" s="12">
        <f t="shared" si="1"/>
        <v>41.880341880341881</v>
      </c>
      <c r="H12" s="9">
        <v>64</v>
      </c>
      <c r="I12" s="24">
        <v>72</v>
      </c>
      <c r="J12" s="10">
        <f t="shared" si="2"/>
        <v>112.5</v>
      </c>
    </row>
    <row r="13" spans="1:10" ht="43.5" x14ac:dyDescent="0.45">
      <c r="A13" s="22" t="s">
        <v>15</v>
      </c>
      <c r="B13" s="11">
        <v>236</v>
      </c>
      <c r="C13" s="24">
        <v>113</v>
      </c>
      <c r="D13" s="10">
        <f t="shared" si="0"/>
        <v>47.881355932203391</v>
      </c>
      <c r="E13" s="11">
        <v>236</v>
      </c>
      <c r="F13" s="24">
        <v>123</v>
      </c>
      <c r="G13" s="12">
        <f t="shared" si="1"/>
        <v>52.118644067796616</v>
      </c>
      <c r="H13" s="9">
        <v>231</v>
      </c>
      <c r="I13" s="24">
        <v>159</v>
      </c>
      <c r="J13" s="10">
        <f t="shared" si="2"/>
        <v>68.831168831168839</v>
      </c>
    </row>
    <row r="14" spans="1:10" ht="29" x14ac:dyDescent="0.45">
      <c r="A14" s="22" t="s">
        <v>16</v>
      </c>
      <c r="B14" s="11">
        <v>5736</v>
      </c>
      <c r="C14" s="24">
        <v>4128</v>
      </c>
      <c r="D14" s="10">
        <f t="shared" si="0"/>
        <v>71.96652719665272</v>
      </c>
      <c r="E14" s="11">
        <v>5736</v>
      </c>
      <c r="F14" s="24">
        <v>2559</v>
      </c>
      <c r="G14" s="12">
        <f t="shared" si="1"/>
        <v>44.612970711297073</v>
      </c>
      <c r="H14" s="9">
        <v>6878</v>
      </c>
      <c r="I14" s="24">
        <v>2318</v>
      </c>
      <c r="J14" s="10">
        <f t="shared" si="2"/>
        <v>33.701657458563538</v>
      </c>
    </row>
    <row r="15" spans="1:10" ht="29" x14ac:dyDescent="0.45">
      <c r="A15" s="22" t="s">
        <v>4</v>
      </c>
      <c r="B15" s="11">
        <v>576</v>
      </c>
      <c r="C15" s="29">
        <v>315</v>
      </c>
      <c r="D15" s="10">
        <f t="shared" si="0"/>
        <v>54.6875</v>
      </c>
      <c r="E15" s="11">
        <v>576</v>
      </c>
      <c r="F15" s="24">
        <v>275</v>
      </c>
      <c r="G15" s="12">
        <f t="shared" si="1"/>
        <v>47.743055555555557</v>
      </c>
      <c r="H15" s="9">
        <v>657</v>
      </c>
      <c r="I15" s="24">
        <v>368</v>
      </c>
      <c r="J15" s="10">
        <f t="shared" si="2"/>
        <v>56.012176560121759</v>
      </c>
    </row>
    <row r="16" spans="1:10" ht="16.5" x14ac:dyDescent="0.45">
      <c r="A16" s="22" t="s">
        <v>28</v>
      </c>
      <c r="B16" s="11">
        <v>137</v>
      </c>
      <c r="C16" s="24">
        <v>41</v>
      </c>
      <c r="D16" s="10">
        <f t="shared" si="0"/>
        <v>29.927007299270077</v>
      </c>
      <c r="E16" s="11">
        <v>137</v>
      </c>
      <c r="F16" s="24">
        <v>43</v>
      </c>
      <c r="G16" s="12">
        <f t="shared" si="1"/>
        <v>31.386861313868614</v>
      </c>
      <c r="H16" s="9">
        <v>184</v>
      </c>
      <c r="I16" s="24">
        <v>55</v>
      </c>
      <c r="J16" s="10">
        <f t="shared" si="2"/>
        <v>29.891304347826086</v>
      </c>
    </row>
    <row r="17" spans="1:10" ht="16.5" x14ac:dyDescent="0.45">
      <c r="A17" s="22" t="s">
        <v>36</v>
      </c>
      <c r="B17" s="11">
        <v>62</v>
      </c>
      <c r="C17" s="24">
        <v>15</v>
      </c>
      <c r="D17" s="10">
        <f t="shared" si="0"/>
        <v>24.193548387096776</v>
      </c>
      <c r="E17" s="11">
        <v>62</v>
      </c>
      <c r="F17" s="24">
        <v>26</v>
      </c>
      <c r="G17" s="12">
        <f t="shared" si="1"/>
        <v>41.935483870967744</v>
      </c>
      <c r="H17" s="9">
        <v>69</v>
      </c>
      <c r="I17" s="24">
        <v>39</v>
      </c>
      <c r="J17" s="10">
        <f t="shared" si="2"/>
        <v>56.521739130434781</v>
      </c>
    </row>
    <row r="18" spans="1:10" ht="16.5" x14ac:dyDescent="0.45">
      <c r="A18" s="22" t="s">
        <v>37</v>
      </c>
      <c r="B18" s="11">
        <v>62</v>
      </c>
      <c r="C18" s="24">
        <v>36</v>
      </c>
      <c r="D18" s="10">
        <f t="shared" si="0"/>
        <v>58.064516129032263</v>
      </c>
      <c r="E18" s="11">
        <v>62</v>
      </c>
      <c r="F18" s="24">
        <v>23</v>
      </c>
      <c r="G18" s="12">
        <f t="shared" si="1"/>
        <v>37.096774193548384</v>
      </c>
      <c r="H18" s="9">
        <v>75</v>
      </c>
      <c r="I18" s="24">
        <v>25</v>
      </c>
      <c r="J18" s="10">
        <f t="shared" si="2"/>
        <v>33.333333333333329</v>
      </c>
    </row>
    <row r="19" spans="1:10" ht="16.5" x14ac:dyDescent="0.45">
      <c r="A19" s="22" t="s">
        <v>17</v>
      </c>
      <c r="B19" s="11">
        <v>2230</v>
      </c>
      <c r="C19" s="24">
        <v>1752</v>
      </c>
      <c r="D19" s="10">
        <f t="shared" si="0"/>
        <v>78.56502242152466</v>
      </c>
      <c r="E19" s="11">
        <v>2230</v>
      </c>
      <c r="F19" s="24">
        <v>1539</v>
      </c>
      <c r="G19" s="12">
        <f t="shared" si="1"/>
        <v>69.013452914798208</v>
      </c>
      <c r="H19" s="9">
        <v>2609</v>
      </c>
      <c r="I19" s="24">
        <v>1560</v>
      </c>
      <c r="J19" s="10">
        <f t="shared" si="2"/>
        <v>59.793024147182827</v>
      </c>
    </row>
    <row r="20" spans="1:10" ht="16.5" x14ac:dyDescent="0.45">
      <c r="A20" s="22" t="s">
        <v>18</v>
      </c>
      <c r="B20" s="11">
        <v>543</v>
      </c>
      <c r="C20" s="24">
        <v>371</v>
      </c>
      <c r="D20" s="10">
        <f t="shared" si="0"/>
        <v>68.324125230202583</v>
      </c>
      <c r="E20" s="11">
        <v>543</v>
      </c>
      <c r="F20" s="24">
        <v>402</v>
      </c>
      <c r="G20" s="12">
        <f t="shared" si="1"/>
        <v>74.033149171270722</v>
      </c>
      <c r="H20" s="9">
        <v>634</v>
      </c>
      <c r="I20" s="24">
        <v>350</v>
      </c>
      <c r="J20" s="10">
        <f t="shared" si="2"/>
        <v>55.205047318611989</v>
      </c>
    </row>
    <row r="21" spans="1:10" ht="16.5" x14ac:dyDescent="0.45">
      <c r="A21" s="22" t="s">
        <v>5</v>
      </c>
      <c r="B21" s="11">
        <v>1425</v>
      </c>
      <c r="C21" s="24">
        <v>773</v>
      </c>
      <c r="D21" s="10">
        <f t="shared" si="0"/>
        <v>54.245614035087719</v>
      </c>
      <c r="E21" s="11">
        <v>1425</v>
      </c>
      <c r="F21" s="24">
        <v>563</v>
      </c>
      <c r="G21" s="12">
        <f t="shared" si="1"/>
        <v>39.508771929824562</v>
      </c>
      <c r="H21" s="11">
        <v>1082</v>
      </c>
      <c r="I21" s="24">
        <v>882</v>
      </c>
      <c r="J21" s="10">
        <f t="shared" si="2"/>
        <v>81.515711645101661</v>
      </c>
    </row>
    <row r="22" spans="1:10" ht="16.5" x14ac:dyDescent="0.45">
      <c r="A22" s="17" t="s">
        <v>19</v>
      </c>
      <c r="B22" s="11">
        <v>284</v>
      </c>
      <c r="C22" s="11">
        <v>139</v>
      </c>
      <c r="D22" s="10">
        <f t="shared" si="0"/>
        <v>48.943661971830984</v>
      </c>
      <c r="E22" s="11">
        <v>284</v>
      </c>
      <c r="F22" s="11">
        <v>123</v>
      </c>
      <c r="G22" s="12">
        <f t="shared" si="1"/>
        <v>43.309859154929576</v>
      </c>
      <c r="H22" s="11">
        <v>376</v>
      </c>
      <c r="I22" s="11">
        <v>126</v>
      </c>
      <c r="J22" s="10">
        <f t="shared" si="2"/>
        <v>33.51063829787234</v>
      </c>
    </row>
    <row r="23" spans="1:10" ht="29" x14ac:dyDescent="0.45">
      <c r="A23" s="22" t="s">
        <v>6</v>
      </c>
      <c r="B23" s="11">
        <v>488</v>
      </c>
      <c r="C23" s="24">
        <v>128</v>
      </c>
      <c r="D23" s="10">
        <f t="shared" si="0"/>
        <v>26.229508196721312</v>
      </c>
      <c r="E23" s="11">
        <v>488</v>
      </c>
      <c r="F23" s="24">
        <v>133</v>
      </c>
      <c r="G23" s="12">
        <f t="shared" si="1"/>
        <v>27.254098360655739</v>
      </c>
      <c r="H23" s="9">
        <v>514</v>
      </c>
      <c r="I23" s="24">
        <v>209</v>
      </c>
      <c r="J23" s="10">
        <f t="shared" si="2"/>
        <v>40.661478599221788</v>
      </c>
    </row>
    <row r="24" spans="1:10" ht="16.5" x14ac:dyDescent="0.45">
      <c r="A24" s="22" t="s">
        <v>29</v>
      </c>
      <c r="B24" s="11">
        <v>443</v>
      </c>
      <c r="C24" s="24">
        <v>386</v>
      </c>
      <c r="D24" s="10">
        <f t="shared" si="0"/>
        <v>87.133182844243791</v>
      </c>
      <c r="E24" s="11">
        <v>443</v>
      </c>
      <c r="F24" s="24">
        <v>395</v>
      </c>
      <c r="G24" s="12">
        <f t="shared" si="1"/>
        <v>89.164785553047395</v>
      </c>
      <c r="H24" s="9">
        <v>425</v>
      </c>
      <c r="I24" s="24">
        <v>313</v>
      </c>
      <c r="J24" s="10">
        <f t="shared" si="2"/>
        <v>73.647058823529406</v>
      </c>
    </row>
    <row r="25" spans="1:10" ht="16.5" x14ac:dyDescent="0.45">
      <c r="A25" s="22" t="s">
        <v>38</v>
      </c>
      <c r="B25" s="11">
        <v>130</v>
      </c>
      <c r="C25" s="24">
        <v>40</v>
      </c>
      <c r="D25" s="10">
        <f t="shared" si="0"/>
        <v>30.76923076923077</v>
      </c>
      <c r="E25" s="11">
        <v>130</v>
      </c>
      <c r="F25" s="24">
        <v>30</v>
      </c>
      <c r="G25" s="12">
        <f t="shared" si="1"/>
        <v>23.076923076923077</v>
      </c>
      <c r="H25" s="9">
        <v>123</v>
      </c>
      <c r="I25" s="24">
        <v>63</v>
      </c>
      <c r="J25" s="10">
        <f t="shared" si="2"/>
        <v>51.219512195121951</v>
      </c>
    </row>
    <row r="26" spans="1:10" ht="16.5" x14ac:dyDescent="0.45">
      <c r="A26" s="22" t="s">
        <v>30</v>
      </c>
      <c r="B26" s="11">
        <v>99</v>
      </c>
      <c r="C26" s="24">
        <v>69</v>
      </c>
      <c r="D26" s="10">
        <f t="shared" si="0"/>
        <v>69.696969696969703</v>
      </c>
      <c r="E26" s="11">
        <v>99</v>
      </c>
      <c r="F26" s="24">
        <v>35</v>
      </c>
      <c r="G26" s="12">
        <f t="shared" si="1"/>
        <v>35.353535353535356</v>
      </c>
      <c r="H26" s="9">
        <v>95</v>
      </c>
      <c r="I26" s="24">
        <v>43</v>
      </c>
      <c r="J26" s="10">
        <f t="shared" si="2"/>
        <v>45.263157894736842</v>
      </c>
    </row>
    <row r="27" spans="1:10" ht="29" x14ac:dyDescent="0.45">
      <c r="A27" s="22" t="s">
        <v>7</v>
      </c>
      <c r="B27" s="11">
        <v>224</v>
      </c>
      <c r="C27" s="24">
        <v>76</v>
      </c>
      <c r="D27" s="10">
        <f t="shared" si="0"/>
        <v>33.928571428571431</v>
      </c>
      <c r="E27" s="11">
        <v>224</v>
      </c>
      <c r="F27" s="24">
        <v>115</v>
      </c>
      <c r="G27" s="12">
        <f t="shared" si="1"/>
        <v>51.339285714285708</v>
      </c>
      <c r="H27" s="9">
        <v>243</v>
      </c>
      <c r="I27" s="24">
        <v>205</v>
      </c>
      <c r="J27" s="10">
        <f t="shared" si="2"/>
        <v>84.362139917695472</v>
      </c>
    </row>
    <row r="28" spans="1:10" ht="29" x14ac:dyDescent="0.45">
      <c r="A28" s="22" t="s">
        <v>20</v>
      </c>
      <c r="B28" s="11">
        <v>220</v>
      </c>
      <c r="C28" s="24">
        <v>88</v>
      </c>
      <c r="D28" s="10">
        <f t="shared" si="0"/>
        <v>40</v>
      </c>
      <c r="E28" s="11">
        <v>220</v>
      </c>
      <c r="F28" s="24">
        <v>104</v>
      </c>
      <c r="G28" s="12">
        <f t="shared" si="1"/>
        <v>47.272727272727273</v>
      </c>
      <c r="H28" s="9">
        <v>212</v>
      </c>
      <c r="I28" s="24">
        <v>256</v>
      </c>
      <c r="J28" s="10">
        <f t="shared" si="2"/>
        <v>120.75471698113208</v>
      </c>
    </row>
    <row r="29" spans="1:10" ht="16.5" x14ac:dyDescent="0.45">
      <c r="A29" s="22" t="s">
        <v>8</v>
      </c>
      <c r="B29" s="11">
        <v>135</v>
      </c>
      <c r="C29" s="24">
        <v>87</v>
      </c>
      <c r="D29" s="10">
        <f t="shared" si="0"/>
        <v>64.444444444444443</v>
      </c>
      <c r="E29" s="11">
        <v>135</v>
      </c>
      <c r="F29" s="24">
        <v>70</v>
      </c>
      <c r="G29" s="12">
        <f t="shared" si="1"/>
        <v>51.851851851851848</v>
      </c>
      <c r="H29" s="9">
        <v>190</v>
      </c>
      <c r="I29" s="24">
        <v>135</v>
      </c>
      <c r="J29" s="10">
        <f t="shared" si="2"/>
        <v>71.05263157894737</v>
      </c>
    </row>
    <row r="30" spans="1:10" ht="29" x14ac:dyDescent="0.45">
      <c r="A30" s="22" t="s">
        <v>9</v>
      </c>
      <c r="B30" s="11">
        <v>1283</v>
      </c>
      <c r="C30" s="24">
        <v>529</v>
      </c>
      <c r="D30" s="10">
        <f t="shared" si="0"/>
        <v>41.231488698363208</v>
      </c>
      <c r="E30" s="11">
        <v>1283</v>
      </c>
      <c r="F30" s="24">
        <v>399</v>
      </c>
      <c r="G30" s="12">
        <f t="shared" si="1"/>
        <v>31.098986749805146</v>
      </c>
      <c r="H30" s="9">
        <v>1399</v>
      </c>
      <c r="I30" s="24">
        <v>590</v>
      </c>
      <c r="J30" s="10">
        <f t="shared" si="2"/>
        <v>42.172980700500354</v>
      </c>
    </row>
    <row r="31" spans="1:10" ht="16.5" x14ac:dyDescent="0.45">
      <c r="A31" s="22" t="s">
        <v>39</v>
      </c>
      <c r="B31" s="11">
        <v>259</v>
      </c>
      <c r="C31" s="24">
        <v>108</v>
      </c>
      <c r="D31" s="10">
        <f t="shared" si="0"/>
        <v>41.698841698841697</v>
      </c>
      <c r="E31" s="11">
        <v>259</v>
      </c>
      <c r="F31" s="24">
        <v>112</v>
      </c>
      <c r="G31" s="12">
        <f t="shared" si="1"/>
        <v>43.243243243243242</v>
      </c>
      <c r="H31" s="9">
        <v>208</v>
      </c>
      <c r="I31" s="24">
        <v>89</v>
      </c>
      <c r="J31" s="10">
        <f t="shared" si="2"/>
        <v>42.788461538461533</v>
      </c>
    </row>
    <row r="32" spans="1:10" ht="29" x14ac:dyDescent="0.45">
      <c r="A32" s="22" t="s">
        <v>40</v>
      </c>
      <c r="B32" s="11">
        <v>36</v>
      </c>
      <c r="C32" s="24">
        <v>5</v>
      </c>
      <c r="D32" s="10">
        <f t="shared" si="0"/>
        <v>13.888888888888889</v>
      </c>
      <c r="E32" s="11">
        <v>36</v>
      </c>
      <c r="F32" s="24">
        <v>4</v>
      </c>
      <c r="G32" s="12">
        <f t="shared" si="1"/>
        <v>11.111111111111111</v>
      </c>
      <c r="H32" s="9">
        <v>36</v>
      </c>
      <c r="I32" s="24">
        <v>13</v>
      </c>
      <c r="J32" s="10">
        <f t="shared" si="2"/>
        <v>36.111111111111107</v>
      </c>
    </row>
    <row r="33" spans="1:10" ht="16.5" x14ac:dyDescent="0.45">
      <c r="A33" s="22" t="s">
        <v>10</v>
      </c>
      <c r="B33" s="11">
        <v>581</v>
      </c>
      <c r="C33" s="24">
        <v>172</v>
      </c>
      <c r="D33" s="10">
        <f t="shared" si="0"/>
        <v>29.604130808950085</v>
      </c>
      <c r="E33" s="11">
        <v>581</v>
      </c>
      <c r="F33" s="24">
        <v>199</v>
      </c>
      <c r="G33" s="12">
        <f t="shared" si="1"/>
        <v>34.251290877796905</v>
      </c>
      <c r="H33" s="9">
        <v>608</v>
      </c>
      <c r="I33" s="24">
        <v>185</v>
      </c>
      <c r="J33" s="10">
        <f t="shared" si="2"/>
        <v>30.427631578947366</v>
      </c>
    </row>
    <row r="34" spans="1:10" ht="29" x14ac:dyDescent="0.45">
      <c r="A34" s="22" t="s">
        <v>41</v>
      </c>
      <c r="B34" s="11">
        <v>129</v>
      </c>
      <c r="C34" s="24">
        <v>64</v>
      </c>
      <c r="D34" s="10">
        <f t="shared" si="0"/>
        <v>49.612403100775197</v>
      </c>
      <c r="E34" s="11">
        <v>129</v>
      </c>
      <c r="F34" s="24">
        <v>89</v>
      </c>
      <c r="G34" s="12">
        <f t="shared" si="1"/>
        <v>68.992248062015506</v>
      </c>
      <c r="H34" s="9">
        <v>153</v>
      </c>
      <c r="I34" s="24">
        <v>95</v>
      </c>
      <c r="J34" s="10">
        <f t="shared" si="2"/>
        <v>62.091503267973856</v>
      </c>
    </row>
    <row r="35" spans="1:10" ht="29" x14ac:dyDescent="0.45">
      <c r="A35" s="22" t="s">
        <v>21</v>
      </c>
      <c r="B35" s="11">
        <v>228</v>
      </c>
      <c r="C35" s="24">
        <v>63</v>
      </c>
      <c r="D35" s="10">
        <f t="shared" si="0"/>
        <v>27.631578947368425</v>
      </c>
      <c r="E35" s="11">
        <v>228</v>
      </c>
      <c r="F35" s="24">
        <v>54</v>
      </c>
      <c r="G35" s="12">
        <f t="shared" si="1"/>
        <v>23.684210526315788</v>
      </c>
      <c r="H35" s="9">
        <v>219</v>
      </c>
      <c r="I35" s="24">
        <v>67</v>
      </c>
      <c r="J35" s="10">
        <f t="shared" si="2"/>
        <v>30.593607305936072</v>
      </c>
    </row>
    <row r="36" spans="1:10" ht="29" x14ac:dyDescent="0.45">
      <c r="A36" s="22" t="s">
        <v>22</v>
      </c>
      <c r="B36" s="11">
        <v>33</v>
      </c>
      <c r="C36" s="24">
        <v>44</v>
      </c>
      <c r="D36" s="10">
        <f t="shared" si="0"/>
        <v>133.33333333333331</v>
      </c>
      <c r="E36" s="11">
        <v>33</v>
      </c>
      <c r="F36" s="24">
        <v>25</v>
      </c>
      <c r="G36" s="12">
        <f t="shared" si="1"/>
        <v>75.757575757575751</v>
      </c>
      <c r="H36" s="9">
        <v>38</v>
      </c>
      <c r="I36" s="24">
        <v>11</v>
      </c>
      <c r="J36" s="10">
        <f t="shared" si="2"/>
        <v>28.947368421052634</v>
      </c>
    </row>
    <row r="37" spans="1:10" ht="29" x14ac:dyDescent="0.45">
      <c r="A37" s="22" t="s">
        <v>23</v>
      </c>
      <c r="B37" s="11">
        <v>38</v>
      </c>
      <c r="C37" s="24">
        <v>16</v>
      </c>
      <c r="D37" s="10">
        <f t="shared" si="0"/>
        <v>42.105263157894733</v>
      </c>
      <c r="E37" s="11">
        <v>38</v>
      </c>
      <c r="F37" s="24">
        <v>6</v>
      </c>
      <c r="G37" s="12">
        <f t="shared" si="1"/>
        <v>15.789473684210526</v>
      </c>
      <c r="H37" s="9">
        <v>41</v>
      </c>
      <c r="I37" s="24">
        <v>16</v>
      </c>
      <c r="J37" s="10">
        <f t="shared" si="2"/>
        <v>39.024390243902438</v>
      </c>
    </row>
    <row r="38" spans="1:10" ht="16.5" x14ac:dyDescent="0.45">
      <c r="A38" s="22" t="s">
        <v>24</v>
      </c>
      <c r="B38" s="11">
        <v>130</v>
      </c>
      <c r="C38" s="24">
        <v>34</v>
      </c>
      <c r="D38" s="10">
        <f t="shared" si="0"/>
        <v>26.153846153846157</v>
      </c>
      <c r="E38" s="11">
        <v>130</v>
      </c>
      <c r="F38" s="24">
        <v>45</v>
      </c>
      <c r="G38" s="12">
        <f t="shared" si="1"/>
        <v>34.615384615384613</v>
      </c>
      <c r="H38" s="9">
        <v>140</v>
      </c>
      <c r="I38" s="24">
        <v>66</v>
      </c>
      <c r="J38" s="10">
        <f t="shared" si="2"/>
        <v>47.142857142857139</v>
      </c>
    </row>
    <row r="39" spans="1:10" ht="43.5" x14ac:dyDescent="0.45">
      <c r="A39" s="22" t="s">
        <v>31</v>
      </c>
      <c r="B39" s="11">
        <v>1467</v>
      </c>
      <c r="C39" s="24">
        <v>446</v>
      </c>
      <c r="D39" s="10">
        <f t="shared" si="0"/>
        <v>30.402181322426721</v>
      </c>
      <c r="E39" s="11">
        <v>1467</v>
      </c>
      <c r="F39" s="24">
        <v>55</v>
      </c>
      <c r="G39" s="12">
        <f t="shared" si="1"/>
        <v>3.7491479209270624</v>
      </c>
      <c r="H39" s="9">
        <v>1144</v>
      </c>
      <c r="I39" s="24">
        <v>339</v>
      </c>
      <c r="J39" s="10">
        <f t="shared" si="2"/>
        <v>29.632867132867137</v>
      </c>
    </row>
    <row r="40" spans="1:10" ht="16.5" x14ac:dyDescent="0.45">
      <c r="A40" s="22" t="s">
        <v>11</v>
      </c>
      <c r="B40" s="11">
        <v>166</v>
      </c>
      <c r="C40" s="24">
        <v>48</v>
      </c>
      <c r="D40" s="10">
        <f t="shared" si="0"/>
        <v>28.915662650602407</v>
      </c>
      <c r="E40" s="11">
        <v>166</v>
      </c>
      <c r="F40" s="24">
        <v>62</v>
      </c>
      <c r="G40" s="12">
        <f t="shared" si="1"/>
        <v>37.349397590361441</v>
      </c>
      <c r="H40" s="9">
        <v>177</v>
      </c>
      <c r="I40" s="24">
        <v>76</v>
      </c>
      <c r="J40" s="10">
        <f t="shared" si="2"/>
        <v>42.93785310734463</v>
      </c>
    </row>
    <row r="41" spans="1:10" ht="16.5" x14ac:dyDescent="0.45">
      <c r="A41" s="22" t="s">
        <v>12</v>
      </c>
      <c r="B41" s="11">
        <v>952</v>
      </c>
      <c r="C41" s="24">
        <v>163</v>
      </c>
      <c r="D41" s="10">
        <f t="shared" si="0"/>
        <v>17.1218487394958</v>
      </c>
      <c r="E41" s="11">
        <v>952</v>
      </c>
      <c r="F41" s="24">
        <v>144</v>
      </c>
      <c r="G41" s="12">
        <f t="shared" si="1"/>
        <v>15.126050420168067</v>
      </c>
      <c r="H41" s="9">
        <v>851</v>
      </c>
      <c r="I41" s="24">
        <v>175</v>
      </c>
      <c r="J41" s="10">
        <f t="shared" si="2"/>
        <v>20.564042303172737</v>
      </c>
    </row>
    <row r="42" spans="1:10" ht="29" x14ac:dyDescent="0.45">
      <c r="A42" s="22" t="s">
        <v>32</v>
      </c>
      <c r="B42" s="11">
        <v>30</v>
      </c>
      <c r="C42" s="24">
        <v>72</v>
      </c>
      <c r="D42" s="10">
        <f t="shared" si="0"/>
        <v>240</v>
      </c>
      <c r="E42" s="11">
        <v>30</v>
      </c>
      <c r="F42" s="24">
        <v>51</v>
      </c>
      <c r="G42" s="12">
        <f t="shared" si="1"/>
        <v>170</v>
      </c>
      <c r="H42" s="9">
        <v>50</v>
      </c>
      <c r="I42" s="24">
        <v>64</v>
      </c>
      <c r="J42" s="10">
        <f t="shared" si="2"/>
        <v>128</v>
      </c>
    </row>
    <row r="43" spans="1:10" ht="16.5" x14ac:dyDescent="0.45">
      <c r="A43" s="22" t="s">
        <v>25</v>
      </c>
      <c r="B43" s="11">
        <v>278</v>
      </c>
      <c r="C43" s="24">
        <v>232</v>
      </c>
      <c r="D43" s="10">
        <f t="shared" si="0"/>
        <v>83.453237410071949</v>
      </c>
      <c r="E43" s="11">
        <v>278</v>
      </c>
      <c r="F43" s="24">
        <v>227</v>
      </c>
      <c r="G43" s="12">
        <f t="shared" si="1"/>
        <v>81.654676258992808</v>
      </c>
      <c r="H43" s="9">
        <v>348</v>
      </c>
      <c r="I43" s="24">
        <v>267</v>
      </c>
      <c r="J43" s="10">
        <f t="shared" si="2"/>
        <v>76.724137931034491</v>
      </c>
    </row>
    <row r="44" spans="1:10" ht="16.5" x14ac:dyDescent="0.45">
      <c r="A44" s="22" t="s">
        <v>33</v>
      </c>
      <c r="B44" s="11">
        <v>112</v>
      </c>
      <c r="C44" s="24">
        <v>67</v>
      </c>
      <c r="D44" s="10">
        <f t="shared" si="0"/>
        <v>59.821428571428569</v>
      </c>
      <c r="E44" s="11">
        <v>112</v>
      </c>
      <c r="F44" s="24">
        <v>40</v>
      </c>
      <c r="G44" s="12">
        <f t="shared" si="1"/>
        <v>35.714285714285715</v>
      </c>
      <c r="H44" s="9">
        <v>133</v>
      </c>
      <c r="I44" s="24">
        <v>71</v>
      </c>
      <c r="J44" s="10">
        <f t="shared" si="2"/>
        <v>53.383458646616546</v>
      </c>
    </row>
    <row r="45" spans="1:10" ht="29" x14ac:dyDescent="0.45">
      <c r="A45" s="22" t="s">
        <v>13</v>
      </c>
      <c r="B45" s="11">
        <v>403</v>
      </c>
      <c r="C45" s="24">
        <v>280</v>
      </c>
      <c r="D45" s="10">
        <f t="shared" si="0"/>
        <v>69.478908188585606</v>
      </c>
      <c r="E45" s="11">
        <v>403</v>
      </c>
      <c r="F45" s="24">
        <v>204</v>
      </c>
      <c r="G45" s="12">
        <f t="shared" si="1"/>
        <v>50.620347394540943</v>
      </c>
      <c r="H45" s="9">
        <v>254</v>
      </c>
      <c r="I45" s="24">
        <v>617</v>
      </c>
      <c r="J45" s="10">
        <f t="shared" si="2"/>
        <v>242.91338582677167</v>
      </c>
    </row>
  </sheetData>
  <mergeCells count="7">
    <mergeCell ref="A1:J2"/>
    <mergeCell ref="A3:J3"/>
    <mergeCell ref="A4:J4"/>
    <mergeCell ref="A5:A6"/>
    <mergeCell ref="B5:D5"/>
    <mergeCell ref="E5:G5"/>
    <mergeCell ref="H5:J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E35D-37C5-492E-B79D-2ED8111B8AF4}">
  <dimension ref="A1:J45"/>
  <sheetViews>
    <sheetView workbookViewId="0">
      <selection activeCell="L26" sqref="L26"/>
    </sheetView>
  </sheetViews>
  <sheetFormatPr baseColWidth="10" defaultRowHeight="14.5" x14ac:dyDescent="0.35"/>
  <sheetData>
    <row r="1" spans="1:10" x14ac:dyDescent="0.35">
      <c r="A1" s="37" t="s">
        <v>58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8.5" x14ac:dyDescent="0.3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x14ac:dyDescent="0.3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44" t="s">
        <v>2</v>
      </c>
      <c r="B5" s="46" t="s">
        <v>55</v>
      </c>
      <c r="C5" s="47"/>
      <c r="D5" s="48"/>
      <c r="E5" s="46" t="s">
        <v>56</v>
      </c>
      <c r="F5" s="47"/>
      <c r="G5" s="48"/>
      <c r="H5" s="46" t="s">
        <v>57</v>
      </c>
      <c r="I5" s="47"/>
      <c r="J5" s="48"/>
    </row>
    <row r="6" spans="1:10" ht="43.5" x14ac:dyDescent="0.35">
      <c r="A6" s="45"/>
      <c r="B6" s="5" t="s">
        <v>42</v>
      </c>
      <c r="C6" s="23" t="s">
        <v>45</v>
      </c>
      <c r="D6" s="33" t="s">
        <v>44</v>
      </c>
      <c r="E6" s="5" t="s">
        <v>42</v>
      </c>
      <c r="F6" s="23" t="s">
        <v>46</v>
      </c>
      <c r="G6" s="33" t="s">
        <v>44</v>
      </c>
      <c r="H6" s="5" t="s">
        <v>42</v>
      </c>
      <c r="I6" s="23" t="s">
        <v>43</v>
      </c>
      <c r="J6" s="5" t="s">
        <v>44</v>
      </c>
    </row>
    <row r="7" spans="1:10" ht="16.5" x14ac:dyDescent="0.45">
      <c r="A7" s="22" t="s">
        <v>26</v>
      </c>
      <c r="B7" s="11">
        <v>499</v>
      </c>
      <c r="C7" s="24">
        <v>266</v>
      </c>
      <c r="D7" s="10">
        <f t="shared" ref="D7:D45" si="0">SUM(C7/B7*100)</f>
        <v>53.306613226452903</v>
      </c>
      <c r="E7" s="11">
        <v>499</v>
      </c>
      <c r="F7" s="24">
        <v>170</v>
      </c>
      <c r="G7" s="12">
        <f t="shared" ref="G7:G45" si="1">SUM(F7/E7*100)</f>
        <v>34.06813627254509</v>
      </c>
      <c r="H7" s="9">
        <v>560</v>
      </c>
      <c r="I7" s="24">
        <v>247</v>
      </c>
      <c r="J7" s="10">
        <f t="shared" ref="J7:J45" si="2">SUM(I7/H7*100)</f>
        <v>44.107142857142854</v>
      </c>
    </row>
    <row r="8" spans="1:10" ht="16.5" x14ac:dyDescent="0.45">
      <c r="A8" s="22" t="s">
        <v>27</v>
      </c>
      <c r="B8" s="11">
        <v>54</v>
      </c>
      <c r="C8" s="24">
        <v>40</v>
      </c>
      <c r="D8" s="10">
        <f t="shared" si="0"/>
        <v>74.074074074074076</v>
      </c>
      <c r="E8" s="11">
        <v>54</v>
      </c>
      <c r="F8" s="24">
        <v>40</v>
      </c>
      <c r="G8" s="12">
        <f t="shared" si="1"/>
        <v>74.074074074074076</v>
      </c>
      <c r="H8" s="9">
        <v>51</v>
      </c>
      <c r="I8" s="24">
        <v>46</v>
      </c>
      <c r="J8" s="10">
        <f t="shared" si="2"/>
        <v>90.196078431372555</v>
      </c>
    </row>
    <row r="9" spans="1:10" ht="29" x14ac:dyDescent="0.45">
      <c r="A9" s="22" t="s">
        <v>34</v>
      </c>
      <c r="B9" s="11">
        <v>61</v>
      </c>
      <c r="C9" s="24">
        <v>30</v>
      </c>
      <c r="D9" s="10">
        <f t="shared" si="0"/>
        <v>49.180327868852459</v>
      </c>
      <c r="E9" s="11">
        <v>61</v>
      </c>
      <c r="F9" s="24">
        <v>25</v>
      </c>
      <c r="G9" s="12">
        <f t="shared" si="1"/>
        <v>40.983606557377051</v>
      </c>
      <c r="H9" s="11">
        <v>105</v>
      </c>
      <c r="I9" s="24">
        <v>36</v>
      </c>
      <c r="J9" s="10">
        <f t="shared" si="2"/>
        <v>34.285714285714285</v>
      </c>
    </row>
    <row r="10" spans="1:10" ht="16.5" x14ac:dyDescent="0.45">
      <c r="A10" s="22" t="s">
        <v>14</v>
      </c>
      <c r="B10" s="11">
        <v>643</v>
      </c>
      <c r="C10" s="24">
        <v>314</v>
      </c>
      <c r="D10" s="10">
        <f t="shared" si="0"/>
        <v>48.833592534992228</v>
      </c>
      <c r="E10" s="11">
        <v>643</v>
      </c>
      <c r="F10" s="24">
        <v>198</v>
      </c>
      <c r="G10" s="12">
        <f t="shared" si="1"/>
        <v>30.793157076205286</v>
      </c>
      <c r="H10" s="9">
        <v>843</v>
      </c>
      <c r="I10" s="24">
        <v>302</v>
      </c>
      <c r="J10" s="10">
        <f t="shared" si="2"/>
        <v>35.824436536180308</v>
      </c>
    </row>
    <row r="11" spans="1:10" ht="16.5" x14ac:dyDescent="0.45">
      <c r="A11" s="22" t="s">
        <v>3</v>
      </c>
      <c r="B11" s="11">
        <v>8431</v>
      </c>
      <c r="C11" s="25">
        <v>6959</v>
      </c>
      <c r="D11" s="10">
        <f t="shared" si="0"/>
        <v>82.540623888032258</v>
      </c>
      <c r="E11" s="11">
        <v>8431</v>
      </c>
      <c r="F11" s="27">
        <v>6975</v>
      </c>
      <c r="G11" s="12">
        <f t="shared" si="1"/>
        <v>82.730399715336262</v>
      </c>
      <c r="H11" s="8">
        <v>10719</v>
      </c>
      <c r="I11" s="27">
        <v>9192</v>
      </c>
      <c r="J11" s="10">
        <f t="shared" si="2"/>
        <v>85.754268122026318</v>
      </c>
    </row>
    <row r="12" spans="1:10" ht="16.5" x14ac:dyDescent="0.45">
      <c r="A12" s="22" t="s">
        <v>35</v>
      </c>
      <c r="B12" s="11">
        <v>117</v>
      </c>
      <c r="C12" s="24">
        <v>68</v>
      </c>
      <c r="D12" s="10">
        <f t="shared" si="0"/>
        <v>58.119658119658126</v>
      </c>
      <c r="E12" s="11">
        <v>117</v>
      </c>
      <c r="F12" s="24">
        <v>50</v>
      </c>
      <c r="G12" s="12">
        <f t="shared" si="1"/>
        <v>42.735042735042732</v>
      </c>
      <c r="H12" s="9">
        <v>64</v>
      </c>
      <c r="I12" s="24">
        <v>72</v>
      </c>
      <c r="J12" s="10">
        <f t="shared" si="2"/>
        <v>112.5</v>
      </c>
    </row>
    <row r="13" spans="1:10" ht="43.5" x14ac:dyDescent="0.45">
      <c r="A13" s="22" t="s">
        <v>15</v>
      </c>
      <c r="B13" s="11">
        <v>236</v>
      </c>
      <c r="C13" s="24">
        <v>113</v>
      </c>
      <c r="D13" s="10">
        <f t="shared" si="0"/>
        <v>47.881355932203391</v>
      </c>
      <c r="E13" s="11">
        <v>236</v>
      </c>
      <c r="F13" s="24">
        <v>123</v>
      </c>
      <c r="G13" s="12">
        <f t="shared" si="1"/>
        <v>52.118644067796616</v>
      </c>
      <c r="H13" s="9">
        <v>231</v>
      </c>
      <c r="I13" s="24">
        <v>159</v>
      </c>
      <c r="J13" s="10">
        <f t="shared" si="2"/>
        <v>68.831168831168839</v>
      </c>
    </row>
    <row r="14" spans="1:10" ht="29" x14ac:dyDescent="0.45">
      <c r="A14" s="22" t="s">
        <v>16</v>
      </c>
      <c r="B14" s="11">
        <v>5736</v>
      </c>
      <c r="C14" s="24">
        <v>4143</v>
      </c>
      <c r="D14" s="10">
        <f t="shared" si="0"/>
        <v>72.228033472803347</v>
      </c>
      <c r="E14" s="11">
        <v>5736</v>
      </c>
      <c r="F14" s="24">
        <v>2575</v>
      </c>
      <c r="G14" s="12">
        <f t="shared" si="1"/>
        <v>44.891910739191076</v>
      </c>
      <c r="H14" s="9">
        <v>6878</v>
      </c>
      <c r="I14" s="24">
        <v>2318</v>
      </c>
      <c r="J14" s="10">
        <f t="shared" si="2"/>
        <v>33.701657458563538</v>
      </c>
    </row>
    <row r="15" spans="1:10" ht="29" x14ac:dyDescent="0.45">
      <c r="A15" s="22" t="s">
        <v>4</v>
      </c>
      <c r="B15" s="11">
        <v>576</v>
      </c>
      <c r="C15" s="29">
        <v>316</v>
      </c>
      <c r="D15" s="10">
        <f t="shared" si="0"/>
        <v>54.861111111111114</v>
      </c>
      <c r="E15" s="11">
        <v>576</v>
      </c>
      <c r="F15" s="24">
        <v>276</v>
      </c>
      <c r="G15" s="12">
        <f t="shared" si="1"/>
        <v>47.916666666666671</v>
      </c>
      <c r="H15" s="9">
        <v>657</v>
      </c>
      <c r="I15" s="24">
        <v>371</v>
      </c>
      <c r="J15" s="10">
        <f t="shared" si="2"/>
        <v>56.468797564687975</v>
      </c>
    </row>
    <row r="16" spans="1:10" ht="16.5" x14ac:dyDescent="0.45">
      <c r="A16" s="22" t="s">
        <v>28</v>
      </c>
      <c r="B16" s="11">
        <v>137</v>
      </c>
      <c r="C16" s="24">
        <v>41</v>
      </c>
      <c r="D16" s="10">
        <f t="shared" si="0"/>
        <v>29.927007299270077</v>
      </c>
      <c r="E16" s="11">
        <v>137</v>
      </c>
      <c r="F16" s="24">
        <v>43</v>
      </c>
      <c r="G16" s="12">
        <f t="shared" si="1"/>
        <v>31.386861313868614</v>
      </c>
      <c r="H16" s="9">
        <v>184</v>
      </c>
      <c r="I16" s="24">
        <v>55</v>
      </c>
      <c r="J16" s="10">
        <f t="shared" si="2"/>
        <v>29.891304347826086</v>
      </c>
    </row>
    <row r="17" spans="1:10" ht="16.5" x14ac:dyDescent="0.45">
      <c r="A17" s="22" t="s">
        <v>36</v>
      </c>
      <c r="B17" s="11">
        <v>62</v>
      </c>
      <c r="C17" s="24">
        <v>15</v>
      </c>
      <c r="D17" s="10">
        <f t="shared" si="0"/>
        <v>24.193548387096776</v>
      </c>
      <c r="E17" s="11">
        <v>62</v>
      </c>
      <c r="F17" s="24">
        <v>26</v>
      </c>
      <c r="G17" s="12">
        <f t="shared" si="1"/>
        <v>41.935483870967744</v>
      </c>
      <c r="H17" s="9">
        <v>69</v>
      </c>
      <c r="I17" s="24">
        <v>39</v>
      </c>
      <c r="J17" s="10">
        <f t="shared" si="2"/>
        <v>56.521739130434781</v>
      </c>
    </row>
    <row r="18" spans="1:10" ht="16.5" x14ac:dyDescent="0.45">
      <c r="A18" s="22" t="s">
        <v>37</v>
      </c>
      <c r="B18" s="11">
        <v>62</v>
      </c>
      <c r="C18" s="24">
        <v>36</v>
      </c>
      <c r="D18" s="10">
        <f t="shared" si="0"/>
        <v>58.064516129032263</v>
      </c>
      <c r="E18" s="11">
        <v>62</v>
      </c>
      <c r="F18" s="24">
        <v>23</v>
      </c>
      <c r="G18" s="12">
        <f t="shared" si="1"/>
        <v>37.096774193548384</v>
      </c>
      <c r="H18" s="9">
        <v>75</v>
      </c>
      <c r="I18" s="24">
        <v>25</v>
      </c>
      <c r="J18" s="10">
        <f t="shared" si="2"/>
        <v>33.333333333333329</v>
      </c>
    </row>
    <row r="19" spans="1:10" ht="16.5" x14ac:dyDescent="0.45">
      <c r="A19" s="22" t="s">
        <v>17</v>
      </c>
      <c r="B19" s="11">
        <v>2230</v>
      </c>
      <c r="C19" s="24">
        <v>4346</v>
      </c>
      <c r="D19" s="10">
        <f t="shared" si="0"/>
        <v>194.88789237668161</v>
      </c>
      <c r="E19" s="11">
        <v>2230</v>
      </c>
      <c r="F19" s="24">
        <v>1561</v>
      </c>
      <c r="G19" s="12">
        <f t="shared" si="1"/>
        <v>70</v>
      </c>
      <c r="H19" s="9">
        <v>2609</v>
      </c>
      <c r="I19" s="24">
        <v>1576</v>
      </c>
      <c r="J19" s="10">
        <f t="shared" si="2"/>
        <v>60.406285933307778</v>
      </c>
    </row>
    <row r="20" spans="1:10" ht="16.5" x14ac:dyDescent="0.45">
      <c r="A20" s="22" t="s">
        <v>18</v>
      </c>
      <c r="B20" s="11">
        <v>543</v>
      </c>
      <c r="C20" s="24">
        <v>371</v>
      </c>
      <c r="D20" s="10">
        <f t="shared" si="0"/>
        <v>68.324125230202583</v>
      </c>
      <c r="E20" s="11">
        <v>543</v>
      </c>
      <c r="F20" s="24">
        <v>402</v>
      </c>
      <c r="G20" s="12">
        <f t="shared" si="1"/>
        <v>74.033149171270722</v>
      </c>
      <c r="H20" s="9">
        <v>634</v>
      </c>
      <c r="I20" s="24">
        <v>350</v>
      </c>
      <c r="J20" s="10">
        <f t="shared" si="2"/>
        <v>55.205047318611989</v>
      </c>
    </row>
    <row r="21" spans="1:10" ht="16.5" x14ac:dyDescent="0.45">
      <c r="A21" s="22" t="s">
        <v>5</v>
      </c>
      <c r="B21" s="11">
        <v>1425</v>
      </c>
      <c r="C21" s="24">
        <v>773</v>
      </c>
      <c r="D21" s="10">
        <f t="shared" si="0"/>
        <v>54.245614035087719</v>
      </c>
      <c r="E21" s="11">
        <v>1425</v>
      </c>
      <c r="F21" s="24">
        <v>563</v>
      </c>
      <c r="G21" s="12">
        <f t="shared" si="1"/>
        <v>39.508771929824562</v>
      </c>
      <c r="H21" s="11">
        <v>1082</v>
      </c>
      <c r="I21" s="24">
        <v>882</v>
      </c>
      <c r="J21" s="10">
        <f t="shared" si="2"/>
        <v>81.515711645101661</v>
      </c>
    </row>
    <row r="22" spans="1:10" ht="16.5" x14ac:dyDescent="0.45">
      <c r="A22" s="17" t="s">
        <v>19</v>
      </c>
      <c r="B22" s="11">
        <v>284</v>
      </c>
      <c r="C22" s="11">
        <v>139</v>
      </c>
      <c r="D22" s="10">
        <f t="shared" si="0"/>
        <v>48.943661971830984</v>
      </c>
      <c r="E22" s="11">
        <v>284</v>
      </c>
      <c r="F22" s="11">
        <v>123</v>
      </c>
      <c r="G22" s="12">
        <f t="shared" si="1"/>
        <v>43.309859154929576</v>
      </c>
      <c r="H22" s="11">
        <v>376</v>
      </c>
      <c r="I22" s="11">
        <v>126</v>
      </c>
      <c r="J22" s="10">
        <f t="shared" si="2"/>
        <v>33.51063829787234</v>
      </c>
    </row>
    <row r="23" spans="1:10" ht="29" x14ac:dyDescent="0.45">
      <c r="A23" s="22" t="s">
        <v>6</v>
      </c>
      <c r="B23" s="11">
        <v>488</v>
      </c>
      <c r="C23" s="24">
        <v>128</v>
      </c>
      <c r="D23" s="10">
        <f t="shared" si="0"/>
        <v>26.229508196721312</v>
      </c>
      <c r="E23" s="11">
        <v>488</v>
      </c>
      <c r="F23" s="24">
        <v>133</v>
      </c>
      <c r="G23" s="12">
        <f t="shared" si="1"/>
        <v>27.254098360655739</v>
      </c>
      <c r="H23" s="9">
        <v>514</v>
      </c>
      <c r="I23" s="24">
        <v>209</v>
      </c>
      <c r="J23" s="10">
        <f t="shared" si="2"/>
        <v>40.661478599221788</v>
      </c>
    </row>
    <row r="24" spans="1:10" ht="16.5" x14ac:dyDescent="0.45">
      <c r="A24" s="22" t="s">
        <v>29</v>
      </c>
      <c r="B24" s="11">
        <v>443</v>
      </c>
      <c r="C24" s="24">
        <v>391</v>
      </c>
      <c r="D24" s="10">
        <f t="shared" si="0"/>
        <v>88.261851015801355</v>
      </c>
      <c r="E24" s="11">
        <v>443</v>
      </c>
      <c r="F24" s="24">
        <v>396</v>
      </c>
      <c r="G24" s="12">
        <f t="shared" si="1"/>
        <v>89.390519187358919</v>
      </c>
      <c r="H24" s="9">
        <v>425</v>
      </c>
      <c r="I24" s="24">
        <v>319</v>
      </c>
      <c r="J24" s="10">
        <f t="shared" si="2"/>
        <v>75.058823529411768</v>
      </c>
    </row>
    <row r="25" spans="1:10" ht="16.5" x14ac:dyDescent="0.45">
      <c r="A25" s="22" t="s">
        <v>38</v>
      </c>
      <c r="B25" s="11">
        <v>130</v>
      </c>
      <c r="C25" s="24">
        <v>40</v>
      </c>
      <c r="D25" s="10">
        <f t="shared" si="0"/>
        <v>30.76923076923077</v>
      </c>
      <c r="E25" s="11">
        <v>130</v>
      </c>
      <c r="F25" s="24">
        <v>30</v>
      </c>
      <c r="G25" s="12">
        <f t="shared" si="1"/>
        <v>23.076923076923077</v>
      </c>
      <c r="H25" s="9">
        <v>123</v>
      </c>
      <c r="I25" s="24">
        <v>63</v>
      </c>
      <c r="J25" s="10">
        <f t="shared" si="2"/>
        <v>51.219512195121951</v>
      </c>
    </row>
    <row r="26" spans="1:10" ht="16.5" x14ac:dyDescent="0.45">
      <c r="A26" s="22" t="s">
        <v>30</v>
      </c>
      <c r="B26" s="11">
        <v>99</v>
      </c>
      <c r="C26" s="24">
        <v>69</v>
      </c>
      <c r="D26" s="10">
        <f t="shared" si="0"/>
        <v>69.696969696969703</v>
      </c>
      <c r="E26" s="11">
        <v>99</v>
      </c>
      <c r="F26" s="24">
        <v>35</v>
      </c>
      <c r="G26" s="12">
        <f t="shared" si="1"/>
        <v>35.353535353535356</v>
      </c>
      <c r="H26" s="9">
        <v>95</v>
      </c>
      <c r="I26" s="24">
        <v>43</v>
      </c>
      <c r="J26" s="10">
        <f t="shared" si="2"/>
        <v>45.263157894736842</v>
      </c>
    </row>
    <row r="27" spans="1:10" ht="29" x14ac:dyDescent="0.45">
      <c r="A27" s="22" t="s">
        <v>7</v>
      </c>
      <c r="B27" s="11">
        <v>224</v>
      </c>
      <c r="C27" s="24">
        <v>77</v>
      </c>
      <c r="D27" s="10">
        <f t="shared" si="0"/>
        <v>34.375</v>
      </c>
      <c r="E27" s="11">
        <v>224</v>
      </c>
      <c r="F27" s="24">
        <v>116</v>
      </c>
      <c r="G27" s="12">
        <f t="shared" si="1"/>
        <v>51.785714285714292</v>
      </c>
      <c r="H27" s="9">
        <v>243</v>
      </c>
      <c r="I27" s="24">
        <v>205</v>
      </c>
      <c r="J27" s="10">
        <f t="shared" si="2"/>
        <v>84.362139917695472</v>
      </c>
    </row>
    <row r="28" spans="1:10" ht="29" x14ac:dyDescent="0.45">
      <c r="A28" s="22" t="s">
        <v>20</v>
      </c>
      <c r="B28" s="11">
        <v>220</v>
      </c>
      <c r="C28" s="24">
        <v>88</v>
      </c>
      <c r="D28" s="10">
        <f t="shared" si="0"/>
        <v>40</v>
      </c>
      <c r="E28" s="11">
        <v>220</v>
      </c>
      <c r="F28" s="24">
        <v>104</v>
      </c>
      <c r="G28" s="12">
        <f t="shared" si="1"/>
        <v>47.272727272727273</v>
      </c>
      <c r="H28" s="9">
        <v>212</v>
      </c>
      <c r="I28" s="24">
        <v>256</v>
      </c>
      <c r="J28" s="10">
        <f t="shared" si="2"/>
        <v>120.75471698113208</v>
      </c>
    </row>
    <row r="29" spans="1:10" ht="16.5" x14ac:dyDescent="0.45">
      <c r="A29" s="22" t="s">
        <v>8</v>
      </c>
      <c r="B29" s="11">
        <v>135</v>
      </c>
      <c r="C29" s="24">
        <v>87</v>
      </c>
      <c r="D29" s="10">
        <f t="shared" si="0"/>
        <v>64.444444444444443</v>
      </c>
      <c r="E29" s="11">
        <v>135</v>
      </c>
      <c r="F29" s="24">
        <v>70</v>
      </c>
      <c r="G29" s="12">
        <f t="shared" si="1"/>
        <v>51.851851851851848</v>
      </c>
      <c r="H29" s="9">
        <v>190</v>
      </c>
      <c r="I29" s="24">
        <v>135</v>
      </c>
      <c r="J29" s="10">
        <f t="shared" si="2"/>
        <v>71.05263157894737</v>
      </c>
    </row>
    <row r="30" spans="1:10" ht="29" x14ac:dyDescent="0.45">
      <c r="A30" s="22" t="s">
        <v>9</v>
      </c>
      <c r="B30" s="11">
        <v>1283</v>
      </c>
      <c r="C30" s="24">
        <v>529</v>
      </c>
      <c r="D30" s="10">
        <f t="shared" si="0"/>
        <v>41.231488698363208</v>
      </c>
      <c r="E30" s="11">
        <v>1283</v>
      </c>
      <c r="F30" s="24">
        <v>399</v>
      </c>
      <c r="G30" s="12">
        <f t="shared" si="1"/>
        <v>31.098986749805146</v>
      </c>
      <c r="H30" s="9">
        <v>1399</v>
      </c>
      <c r="I30" s="24">
        <v>590</v>
      </c>
      <c r="J30" s="10">
        <f t="shared" si="2"/>
        <v>42.172980700500354</v>
      </c>
    </row>
    <row r="31" spans="1:10" ht="16.5" x14ac:dyDescent="0.45">
      <c r="A31" s="22" t="s">
        <v>39</v>
      </c>
      <c r="B31" s="11">
        <v>259</v>
      </c>
      <c r="C31" s="24">
        <v>109</v>
      </c>
      <c r="D31" s="10">
        <f t="shared" si="0"/>
        <v>42.084942084942085</v>
      </c>
      <c r="E31" s="11">
        <v>259</v>
      </c>
      <c r="F31" s="24">
        <v>113</v>
      </c>
      <c r="G31" s="12">
        <f t="shared" si="1"/>
        <v>43.62934362934363</v>
      </c>
      <c r="H31" s="9">
        <v>208</v>
      </c>
      <c r="I31" s="24">
        <v>90</v>
      </c>
      <c r="J31" s="10">
        <f t="shared" si="2"/>
        <v>43.269230769230774</v>
      </c>
    </row>
    <row r="32" spans="1:10" ht="29" x14ac:dyDescent="0.45">
      <c r="A32" s="22" t="s">
        <v>40</v>
      </c>
      <c r="B32" s="11">
        <v>36</v>
      </c>
      <c r="C32" s="24">
        <v>5</v>
      </c>
      <c r="D32" s="10">
        <f t="shared" si="0"/>
        <v>13.888888888888889</v>
      </c>
      <c r="E32" s="11">
        <v>36</v>
      </c>
      <c r="F32" s="24">
        <v>4</v>
      </c>
      <c r="G32" s="12">
        <f t="shared" si="1"/>
        <v>11.111111111111111</v>
      </c>
      <c r="H32" s="9">
        <v>36</v>
      </c>
      <c r="I32" s="24">
        <v>13</v>
      </c>
      <c r="J32" s="10">
        <f t="shared" si="2"/>
        <v>36.111111111111107</v>
      </c>
    </row>
    <row r="33" spans="1:10" ht="16.5" x14ac:dyDescent="0.45">
      <c r="A33" s="22" t="s">
        <v>10</v>
      </c>
      <c r="B33" s="11">
        <v>581</v>
      </c>
      <c r="C33" s="24">
        <v>172</v>
      </c>
      <c r="D33" s="10">
        <f t="shared" si="0"/>
        <v>29.604130808950085</v>
      </c>
      <c r="E33" s="11">
        <v>581</v>
      </c>
      <c r="F33" s="24">
        <v>199</v>
      </c>
      <c r="G33" s="12">
        <f t="shared" si="1"/>
        <v>34.251290877796905</v>
      </c>
      <c r="H33" s="9">
        <v>608</v>
      </c>
      <c r="I33" s="24">
        <v>185</v>
      </c>
      <c r="J33" s="10">
        <f t="shared" si="2"/>
        <v>30.427631578947366</v>
      </c>
    </row>
    <row r="34" spans="1:10" ht="29" x14ac:dyDescent="0.45">
      <c r="A34" s="22" t="s">
        <v>41</v>
      </c>
      <c r="B34" s="11">
        <v>129</v>
      </c>
      <c r="C34" s="24">
        <v>64</v>
      </c>
      <c r="D34" s="10">
        <f t="shared" si="0"/>
        <v>49.612403100775197</v>
      </c>
      <c r="E34" s="11">
        <v>129</v>
      </c>
      <c r="F34" s="24">
        <v>89</v>
      </c>
      <c r="G34" s="12">
        <f t="shared" si="1"/>
        <v>68.992248062015506</v>
      </c>
      <c r="H34" s="9">
        <v>153</v>
      </c>
      <c r="I34" s="24">
        <v>95</v>
      </c>
      <c r="J34" s="10">
        <f t="shared" si="2"/>
        <v>62.091503267973856</v>
      </c>
    </row>
    <row r="35" spans="1:10" ht="29" x14ac:dyDescent="0.45">
      <c r="A35" s="22" t="s">
        <v>21</v>
      </c>
      <c r="B35" s="11">
        <v>228</v>
      </c>
      <c r="C35" s="24">
        <v>63</v>
      </c>
      <c r="D35" s="10">
        <f t="shared" si="0"/>
        <v>27.631578947368425</v>
      </c>
      <c r="E35" s="11">
        <v>228</v>
      </c>
      <c r="F35" s="24">
        <v>54</v>
      </c>
      <c r="G35" s="12">
        <f t="shared" si="1"/>
        <v>23.684210526315788</v>
      </c>
      <c r="H35" s="9">
        <v>219</v>
      </c>
      <c r="I35" s="24">
        <v>67</v>
      </c>
      <c r="J35" s="10">
        <f t="shared" si="2"/>
        <v>30.593607305936072</v>
      </c>
    </row>
    <row r="36" spans="1:10" ht="29" x14ac:dyDescent="0.45">
      <c r="A36" s="22" t="s">
        <v>22</v>
      </c>
      <c r="B36" s="11">
        <v>33</v>
      </c>
      <c r="C36" s="24">
        <v>44</v>
      </c>
      <c r="D36" s="10">
        <f t="shared" si="0"/>
        <v>133.33333333333331</v>
      </c>
      <c r="E36" s="11">
        <v>33</v>
      </c>
      <c r="F36" s="24">
        <v>25</v>
      </c>
      <c r="G36" s="12">
        <f t="shared" si="1"/>
        <v>75.757575757575751</v>
      </c>
      <c r="H36" s="9">
        <v>38</v>
      </c>
      <c r="I36" s="24">
        <v>11</v>
      </c>
      <c r="J36" s="10">
        <f t="shared" si="2"/>
        <v>28.947368421052634</v>
      </c>
    </row>
    <row r="37" spans="1:10" ht="29" x14ac:dyDescent="0.45">
      <c r="A37" s="22" t="s">
        <v>23</v>
      </c>
      <c r="B37" s="11">
        <v>38</v>
      </c>
      <c r="C37" s="24">
        <v>16</v>
      </c>
      <c r="D37" s="10">
        <f t="shared" si="0"/>
        <v>42.105263157894733</v>
      </c>
      <c r="E37" s="11">
        <v>38</v>
      </c>
      <c r="F37" s="24">
        <v>6</v>
      </c>
      <c r="G37" s="12">
        <f t="shared" si="1"/>
        <v>15.789473684210526</v>
      </c>
      <c r="H37" s="9">
        <v>41</v>
      </c>
      <c r="I37" s="24">
        <v>16</v>
      </c>
      <c r="J37" s="10">
        <f t="shared" si="2"/>
        <v>39.024390243902438</v>
      </c>
    </row>
    <row r="38" spans="1:10" ht="16.5" x14ac:dyDescent="0.45">
      <c r="A38" s="22" t="s">
        <v>24</v>
      </c>
      <c r="B38" s="11">
        <v>130</v>
      </c>
      <c r="C38" s="24">
        <v>34</v>
      </c>
      <c r="D38" s="10">
        <f t="shared" si="0"/>
        <v>26.153846153846157</v>
      </c>
      <c r="E38" s="11">
        <v>130</v>
      </c>
      <c r="F38" s="24">
        <v>45</v>
      </c>
      <c r="G38" s="12">
        <f t="shared" si="1"/>
        <v>34.615384615384613</v>
      </c>
      <c r="H38" s="9">
        <v>140</v>
      </c>
      <c r="I38" s="24">
        <v>66</v>
      </c>
      <c r="J38" s="10">
        <f t="shared" si="2"/>
        <v>47.142857142857139</v>
      </c>
    </row>
    <row r="39" spans="1:10" ht="43.5" x14ac:dyDescent="0.45">
      <c r="A39" s="22" t="s">
        <v>31</v>
      </c>
      <c r="B39" s="11">
        <v>1467</v>
      </c>
      <c r="C39" s="24">
        <v>448</v>
      </c>
      <c r="D39" s="10">
        <f t="shared" si="0"/>
        <v>30.538513974096798</v>
      </c>
      <c r="E39" s="11">
        <v>1467</v>
      </c>
      <c r="F39" s="24">
        <v>57</v>
      </c>
      <c r="G39" s="12">
        <f t="shared" si="1"/>
        <v>3.8854805725971371</v>
      </c>
      <c r="H39" s="9">
        <v>1144</v>
      </c>
      <c r="I39" s="24">
        <v>341</v>
      </c>
      <c r="J39" s="10">
        <f t="shared" si="2"/>
        <v>29.807692307692307</v>
      </c>
    </row>
    <row r="40" spans="1:10" ht="16.5" x14ac:dyDescent="0.45">
      <c r="A40" s="22" t="s">
        <v>11</v>
      </c>
      <c r="B40" s="11">
        <v>166</v>
      </c>
      <c r="C40" s="24">
        <v>48</v>
      </c>
      <c r="D40" s="10">
        <f t="shared" si="0"/>
        <v>28.915662650602407</v>
      </c>
      <c r="E40" s="11">
        <v>166</v>
      </c>
      <c r="F40" s="24">
        <v>62</v>
      </c>
      <c r="G40" s="12">
        <f t="shared" si="1"/>
        <v>37.349397590361441</v>
      </c>
      <c r="H40" s="9">
        <v>177</v>
      </c>
      <c r="I40" s="24">
        <v>76</v>
      </c>
      <c r="J40" s="10">
        <f t="shared" si="2"/>
        <v>42.93785310734463</v>
      </c>
    </row>
    <row r="41" spans="1:10" ht="16.5" x14ac:dyDescent="0.45">
      <c r="A41" s="22" t="s">
        <v>12</v>
      </c>
      <c r="B41" s="11">
        <v>952</v>
      </c>
      <c r="C41" s="24">
        <v>163</v>
      </c>
      <c r="D41" s="10">
        <f t="shared" si="0"/>
        <v>17.1218487394958</v>
      </c>
      <c r="E41" s="11">
        <v>952</v>
      </c>
      <c r="F41" s="24">
        <v>144</v>
      </c>
      <c r="G41" s="12">
        <f t="shared" si="1"/>
        <v>15.126050420168067</v>
      </c>
      <c r="H41" s="9">
        <v>851</v>
      </c>
      <c r="I41" s="24">
        <v>175</v>
      </c>
      <c r="J41" s="10">
        <f t="shared" si="2"/>
        <v>20.564042303172737</v>
      </c>
    </row>
    <row r="42" spans="1:10" ht="29" x14ac:dyDescent="0.45">
      <c r="A42" s="22" t="s">
        <v>32</v>
      </c>
      <c r="B42" s="11">
        <v>30</v>
      </c>
      <c r="C42" s="24">
        <v>72</v>
      </c>
      <c r="D42" s="10">
        <f t="shared" si="0"/>
        <v>240</v>
      </c>
      <c r="E42" s="11">
        <v>30</v>
      </c>
      <c r="F42" s="24">
        <v>51</v>
      </c>
      <c r="G42" s="12">
        <f t="shared" si="1"/>
        <v>170</v>
      </c>
      <c r="H42" s="9">
        <v>50</v>
      </c>
      <c r="I42" s="24">
        <v>64</v>
      </c>
      <c r="J42" s="10">
        <f t="shared" si="2"/>
        <v>128</v>
      </c>
    </row>
    <row r="43" spans="1:10" ht="16.5" x14ac:dyDescent="0.45">
      <c r="A43" s="22" t="s">
        <v>25</v>
      </c>
      <c r="B43" s="11">
        <v>278</v>
      </c>
      <c r="C43" s="24">
        <v>232</v>
      </c>
      <c r="D43" s="10">
        <f t="shared" si="0"/>
        <v>83.453237410071949</v>
      </c>
      <c r="E43" s="11">
        <v>278</v>
      </c>
      <c r="F43" s="24">
        <v>227</v>
      </c>
      <c r="G43" s="12">
        <f t="shared" si="1"/>
        <v>81.654676258992808</v>
      </c>
      <c r="H43" s="9">
        <v>348</v>
      </c>
      <c r="I43" s="24">
        <v>267</v>
      </c>
      <c r="J43" s="10">
        <f t="shared" si="2"/>
        <v>76.724137931034491</v>
      </c>
    </row>
    <row r="44" spans="1:10" ht="16.5" x14ac:dyDescent="0.45">
      <c r="A44" s="22" t="s">
        <v>33</v>
      </c>
      <c r="B44" s="11">
        <v>112</v>
      </c>
      <c r="C44" s="24">
        <v>67</v>
      </c>
      <c r="D44" s="10">
        <f t="shared" si="0"/>
        <v>59.821428571428569</v>
      </c>
      <c r="E44" s="11">
        <v>112</v>
      </c>
      <c r="F44" s="24">
        <v>40</v>
      </c>
      <c r="G44" s="12">
        <f t="shared" si="1"/>
        <v>35.714285714285715</v>
      </c>
      <c r="H44" s="9">
        <v>133</v>
      </c>
      <c r="I44" s="24">
        <v>71</v>
      </c>
      <c r="J44" s="10">
        <f t="shared" si="2"/>
        <v>53.383458646616546</v>
      </c>
    </row>
    <row r="45" spans="1:10" ht="29" x14ac:dyDescent="0.45">
      <c r="A45" s="22" t="s">
        <v>13</v>
      </c>
      <c r="B45" s="11">
        <v>403</v>
      </c>
      <c r="C45" s="24">
        <v>289</v>
      </c>
      <c r="D45" s="10">
        <f t="shared" si="0"/>
        <v>71.712158808932998</v>
      </c>
      <c r="E45" s="11">
        <v>403</v>
      </c>
      <c r="F45" s="24">
        <v>208</v>
      </c>
      <c r="G45" s="12">
        <f t="shared" si="1"/>
        <v>51.612903225806448</v>
      </c>
      <c r="H45" s="9">
        <v>254</v>
      </c>
      <c r="I45" s="24">
        <v>621</v>
      </c>
      <c r="J45" s="10">
        <f t="shared" si="2"/>
        <v>244.48818897637796</v>
      </c>
    </row>
  </sheetData>
  <mergeCells count="7">
    <mergeCell ref="A1:J2"/>
    <mergeCell ref="A3:J3"/>
    <mergeCell ref="A4:J4"/>
    <mergeCell ref="A5:A6"/>
    <mergeCell ref="B5:D5"/>
    <mergeCell ref="E5:G5"/>
    <mergeCell ref="H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SE 20</vt:lpstr>
      <vt:lpstr>SE 21</vt:lpstr>
      <vt:lpstr>SE 22</vt:lpstr>
      <vt:lpstr>SE 23</vt:lpstr>
      <vt:lpstr>SE 24</vt:lpstr>
      <vt:lpstr>SE 25</vt:lpstr>
      <vt:lpstr>SE 26</vt:lpstr>
      <vt:lpstr>SE 27</vt:lpstr>
      <vt:lpstr>SE 28</vt:lpstr>
      <vt:lpstr>SE 29</vt:lpstr>
      <vt:lpstr>SE 30</vt:lpstr>
      <vt:lpstr>SE 31</vt:lpstr>
      <vt:lpstr>SE 32</vt:lpstr>
      <vt:lpstr>SE 33</vt:lpstr>
      <vt:lpstr>SE 34</vt:lpstr>
      <vt:lpstr>SE 35</vt:lpstr>
      <vt:lpstr>SE 36</vt:lpstr>
      <vt:lpstr>SE 37</vt:lpstr>
      <vt:lpstr>SE 38</vt:lpstr>
      <vt:lpstr>SE 39</vt:lpstr>
      <vt:lpstr>SE 40</vt:lpstr>
      <vt:lpstr>SE 41</vt:lpstr>
      <vt:lpstr>SE 42</vt:lpstr>
      <vt:lpstr>SE 43</vt:lpstr>
      <vt:lpstr>SE 44</vt:lpstr>
      <vt:lpstr>SE 45</vt:lpstr>
      <vt:lpstr>SE 46</vt:lpstr>
      <vt:lpstr>SE 47</vt:lpstr>
      <vt:lpstr>SE 48</vt:lpstr>
      <vt:lpstr>SE 49</vt:lpstr>
      <vt:lpstr>SE 50</vt:lpstr>
      <vt:lpstr>SE 51</vt:lpstr>
      <vt:lpstr>SE 52</vt:lpstr>
      <vt:lpstr>SE 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Sarai alcantar vargas</dc:creator>
  <cp:lastModifiedBy>Alicia Esparza</cp:lastModifiedBy>
  <dcterms:created xsi:type="dcterms:W3CDTF">2025-07-31T19:01:34Z</dcterms:created>
  <dcterms:modified xsi:type="dcterms:W3CDTF">2026-02-24T23:32:37Z</dcterms:modified>
</cp:coreProperties>
</file>